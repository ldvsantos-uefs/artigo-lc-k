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fsbr-my.sharepoint.com/personal/201600111492_office_ufs_br/Documents/ARQUIVOS DO ONDRIVE UFS/ACADEMICO/UFS/POS/ARTIGOS/ARTIGOS PENDENTES/TCC JEANGELA/"/>
    </mc:Choice>
  </mc:AlternateContent>
  <xr:revisionPtr revIDLastSave="19" documentId="13_ncr:1_{78E0EFD6-F4C2-4343-853F-F8681706A776}" xr6:coauthVersionLast="47" xr6:coauthVersionMax="47" xr10:uidLastSave="{BC41E2C3-3FB6-4D94-8E12-3773B48D167B}"/>
  <bookViews>
    <workbookView xWindow="-108" yWindow="-108" windowWidth="23256" windowHeight="12456" firstSheet="1" activeTab="5" xr2:uid="{00000000-000D-0000-FFFF-FFFF00000000}"/>
  </bookViews>
  <sheets>
    <sheet name="Dados deformação.completo" sheetId="1" r:id="rId1"/>
    <sheet name="Deformação" sheetId="2" r:id="rId2"/>
    <sheet name="Tensão X deformação" sheetId="3" r:id="rId3"/>
    <sheet name="Planilha1" sheetId="4" r:id="rId4"/>
    <sheet name="Planilha2" sheetId="7" r:id="rId5"/>
    <sheet name="Dados completos" sheetId="5" r:id="rId6"/>
  </sheets>
  <definedNames>
    <definedName name="_xlnm._FilterDatabase" localSheetId="5" hidden="1">'Dados completos'!$A$1:$B$906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5" l="1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2" i="5"/>
  <c r="J3" i="5"/>
  <c r="K3" i="5" s="1"/>
  <c r="G3" i="5"/>
  <c r="G2" i="5"/>
  <c r="G4" i="5"/>
  <c r="G22" i="5"/>
  <c r="G20" i="5"/>
  <c r="G21" i="5"/>
  <c r="G38" i="5"/>
  <c r="G40" i="5"/>
  <c r="G39" i="5"/>
  <c r="G58" i="5"/>
  <c r="G57" i="5"/>
  <c r="G56" i="5"/>
  <c r="G7" i="5"/>
  <c r="G6" i="5"/>
  <c r="G5" i="5"/>
  <c r="G24" i="5"/>
  <c r="G23" i="5"/>
  <c r="G25" i="5"/>
  <c r="G41" i="5"/>
  <c r="G42" i="5"/>
  <c r="G43" i="5"/>
  <c r="G60" i="5"/>
  <c r="G59" i="5"/>
  <c r="G61" i="5"/>
  <c r="G8" i="5"/>
  <c r="G10" i="5"/>
  <c r="G9" i="5"/>
  <c r="G28" i="5"/>
  <c r="G26" i="5"/>
  <c r="G27" i="5"/>
  <c r="G45" i="5"/>
  <c r="G44" i="5"/>
  <c r="G46" i="5"/>
  <c r="G63" i="5"/>
  <c r="G62" i="5"/>
  <c r="G64" i="5"/>
  <c r="G12" i="5"/>
  <c r="G13" i="5"/>
  <c r="G11" i="5"/>
  <c r="G29" i="5"/>
  <c r="G31" i="5"/>
  <c r="G30" i="5"/>
  <c r="G49" i="5"/>
  <c r="G47" i="5"/>
  <c r="G48" i="5"/>
  <c r="G65" i="5"/>
  <c r="G67" i="5"/>
  <c r="G66" i="5"/>
  <c r="G16" i="5"/>
  <c r="G15" i="5"/>
  <c r="G14" i="5"/>
  <c r="G32" i="5"/>
  <c r="G33" i="5"/>
  <c r="G34" i="5"/>
  <c r="G51" i="5"/>
  <c r="G50" i="5"/>
  <c r="G52" i="5"/>
  <c r="G69" i="5"/>
  <c r="G70" i="5"/>
  <c r="G68" i="5"/>
  <c r="G18" i="5"/>
  <c r="G17" i="5"/>
  <c r="G19" i="5"/>
  <c r="G36" i="5"/>
  <c r="G35" i="5"/>
  <c r="G37" i="5"/>
  <c r="G55" i="5"/>
  <c r="G53" i="5"/>
  <c r="G54" i="5"/>
  <c r="G71" i="5"/>
  <c r="G73" i="5"/>
  <c r="G72" i="5"/>
  <c r="J2" i="5"/>
  <c r="K2" i="5" s="1"/>
  <c r="J4" i="5"/>
  <c r="K4" i="5" s="1"/>
  <c r="J22" i="5"/>
  <c r="K22" i="5" s="1"/>
  <c r="J20" i="5"/>
  <c r="K20" i="5" s="1"/>
  <c r="J21" i="5"/>
  <c r="K21" i="5" s="1"/>
  <c r="J38" i="5"/>
  <c r="K38" i="5" s="1"/>
  <c r="J40" i="5"/>
  <c r="K40" i="5" s="1"/>
  <c r="J39" i="5"/>
  <c r="K39" i="5" s="1"/>
  <c r="J58" i="5"/>
  <c r="K58" i="5" s="1"/>
  <c r="J57" i="5"/>
  <c r="K57" i="5" s="1"/>
  <c r="J56" i="5"/>
  <c r="K56" i="5" s="1"/>
  <c r="J7" i="5"/>
  <c r="K7" i="5" s="1"/>
  <c r="J6" i="5"/>
  <c r="K6" i="5" s="1"/>
  <c r="J5" i="5"/>
  <c r="K5" i="5" s="1"/>
  <c r="J24" i="5"/>
  <c r="K24" i="5" s="1"/>
  <c r="J23" i="5"/>
  <c r="K23" i="5" s="1"/>
  <c r="J25" i="5"/>
  <c r="K25" i="5" s="1"/>
  <c r="J41" i="5"/>
  <c r="K41" i="5" s="1"/>
  <c r="J42" i="5"/>
  <c r="K42" i="5" s="1"/>
  <c r="J43" i="5"/>
  <c r="K43" i="5" s="1"/>
  <c r="J60" i="5"/>
  <c r="K60" i="5" s="1"/>
  <c r="J59" i="5"/>
  <c r="K59" i="5" s="1"/>
  <c r="J61" i="5"/>
  <c r="K61" i="5" s="1"/>
  <c r="J8" i="5"/>
  <c r="K8" i="5" s="1"/>
  <c r="J10" i="5"/>
  <c r="K10" i="5" s="1"/>
  <c r="J9" i="5"/>
  <c r="K9" i="5" s="1"/>
  <c r="J28" i="5"/>
  <c r="K28" i="5" s="1"/>
  <c r="J26" i="5"/>
  <c r="K26" i="5" s="1"/>
  <c r="J27" i="5"/>
  <c r="K27" i="5" s="1"/>
  <c r="J45" i="5"/>
  <c r="K45" i="5" s="1"/>
  <c r="J44" i="5"/>
  <c r="K44" i="5" s="1"/>
  <c r="J46" i="5"/>
  <c r="K46" i="5" s="1"/>
  <c r="J63" i="5"/>
  <c r="K63" i="5" s="1"/>
  <c r="J62" i="5"/>
  <c r="K62" i="5" s="1"/>
  <c r="J64" i="5"/>
  <c r="K64" i="5" s="1"/>
  <c r="J12" i="5"/>
  <c r="K12" i="5" s="1"/>
  <c r="J13" i="5"/>
  <c r="K13" i="5" s="1"/>
  <c r="J11" i="5"/>
  <c r="K11" i="5" s="1"/>
  <c r="J29" i="5"/>
  <c r="K29" i="5" s="1"/>
  <c r="J31" i="5"/>
  <c r="K31" i="5" s="1"/>
  <c r="J30" i="5"/>
  <c r="K30" i="5" s="1"/>
  <c r="J49" i="5"/>
  <c r="K49" i="5" s="1"/>
  <c r="J47" i="5"/>
  <c r="K47" i="5" s="1"/>
  <c r="J48" i="5"/>
  <c r="K48" i="5" s="1"/>
  <c r="J65" i="5"/>
  <c r="K65" i="5" s="1"/>
  <c r="J67" i="5"/>
  <c r="K67" i="5" s="1"/>
  <c r="J66" i="5"/>
  <c r="K66" i="5" s="1"/>
  <c r="J16" i="5"/>
  <c r="K16" i="5" s="1"/>
  <c r="J15" i="5"/>
  <c r="K15" i="5" s="1"/>
  <c r="J14" i="5"/>
  <c r="K14" i="5" s="1"/>
  <c r="J32" i="5"/>
  <c r="K32" i="5" s="1"/>
  <c r="J33" i="5"/>
  <c r="K33" i="5" s="1"/>
  <c r="J34" i="5"/>
  <c r="K34" i="5" s="1"/>
  <c r="J51" i="5"/>
  <c r="K51" i="5" s="1"/>
  <c r="J50" i="5"/>
  <c r="K50" i="5" s="1"/>
  <c r="J52" i="5"/>
  <c r="K52" i="5" s="1"/>
  <c r="J69" i="5"/>
  <c r="K69" i="5" s="1"/>
  <c r="J70" i="5"/>
  <c r="K70" i="5" s="1"/>
  <c r="J68" i="5"/>
  <c r="K68" i="5" s="1"/>
  <c r="J18" i="5"/>
  <c r="K18" i="5" s="1"/>
  <c r="J17" i="5"/>
  <c r="K17" i="5" s="1"/>
  <c r="J19" i="5"/>
  <c r="K19" i="5" s="1"/>
  <c r="J36" i="5"/>
  <c r="K36" i="5" s="1"/>
  <c r="J35" i="5"/>
  <c r="K35" i="5" s="1"/>
  <c r="J37" i="5"/>
  <c r="K37" i="5" s="1"/>
  <c r="J55" i="5"/>
  <c r="K55" i="5" s="1"/>
  <c r="J53" i="5"/>
  <c r="K53" i="5" s="1"/>
  <c r="J54" i="5"/>
  <c r="K54" i="5" s="1"/>
  <c r="J71" i="5"/>
  <c r="K71" i="5" s="1"/>
  <c r="J73" i="5"/>
  <c r="K73" i="5" s="1"/>
  <c r="J72" i="5"/>
  <c r="K72" i="5" s="1"/>
  <c r="G22" i="4" l="1"/>
  <c r="G17" i="4"/>
  <c r="G21" i="4"/>
  <c r="G20" i="4"/>
  <c r="G19" i="4"/>
  <c r="G18" i="4"/>
  <c r="G15" i="4"/>
  <c r="G14" i="4"/>
  <c r="G13" i="4"/>
  <c r="G12" i="4"/>
  <c r="G11" i="4"/>
  <c r="G10" i="4"/>
  <c r="G8" i="4"/>
  <c r="G7" i="4"/>
  <c r="G6" i="4"/>
  <c r="G5" i="4"/>
  <c r="G4" i="4"/>
  <c r="G3" i="4"/>
  <c r="H22" i="2"/>
  <c r="H21" i="2"/>
  <c r="H20" i="2"/>
  <c r="H19" i="2"/>
  <c r="H18" i="2"/>
  <c r="H17" i="2"/>
  <c r="G22" i="3"/>
  <c r="G21" i="3"/>
  <c r="G20" i="3"/>
  <c r="G19" i="3"/>
  <c r="G18" i="3"/>
  <c r="G17" i="3"/>
  <c r="G15" i="3"/>
  <c r="G14" i="3"/>
  <c r="G13" i="3"/>
  <c r="G12" i="3"/>
  <c r="G11" i="3"/>
  <c r="G10" i="3"/>
  <c r="G8" i="3"/>
  <c r="G7" i="3"/>
  <c r="G6" i="3"/>
  <c r="G5" i="3"/>
  <c r="G4" i="3"/>
  <c r="G3" i="3"/>
  <c r="H15" i="2"/>
  <c r="H14" i="2"/>
  <c r="H13" i="2"/>
  <c r="H12" i="2"/>
  <c r="H11" i="2"/>
  <c r="H10" i="2"/>
  <c r="H8" i="2"/>
  <c r="H7" i="2"/>
  <c r="H6" i="2"/>
  <c r="H5" i="2"/>
  <c r="H4" i="2"/>
  <c r="H3" i="2"/>
</calcChain>
</file>

<file path=xl/sharedStrings.xml><?xml version="1.0" encoding="utf-8"?>
<sst xmlns="http://schemas.openxmlformats.org/spreadsheetml/2006/main" count="216" uniqueCount="129">
  <si>
    <t>Tratamentos</t>
  </si>
  <si>
    <t>Tempos</t>
  </si>
  <si>
    <t>Repetição</t>
  </si>
  <si>
    <t>Deformação_tracao</t>
  </si>
  <si>
    <t>Protetivo</t>
  </si>
  <si>
    <t>Trat</t>
  </si>
  <si>
    <t>T1</t>
  </si>
  <si>
    <t>T2</t>
  </si>
  <si>
    <t>T3</t>
  </si>
  <si>
    <t>Dias</t>
  </si>
  <si>
    <t>NaoH</t>
  </si>
  <si>
    <t>Deformação</t>
  </si>
  <si>
    <t>NaoH 3%</t>
  </si>
  <si>
    <t>NaoH 6%</t>
  </si>
  <si>
    <t>NaoH 9%</t>
  </si>
  <si>
    <t>Secante</t>
  </si>
  <si>
    <t>Tensao</t>
  </si>
  <si>
    <t>TRATAMENTO</t>
  </si>
  <si>
    <t>DIAS</t>
  </si>
  <si>
    <t>REPETIÇÃO</t>
  </si>
  <si>
    <t>ESFORÇO À TRAÇÃO (MPa)</t>
  </si>
  <si>
    <t>DIÂMETRO DA FIBRA</t>
  </si>
  <si>
    <t>TENSÃO A RUPTURA</t>
  </si>
  <si>
    <t>Estatística do teste Padrão</t>
  </si>
  <si>
    <t>Deformação (%)</t>
  </si>
  <si>
    <t>Rigidez (Jsec)</t>
  </si>
  <si>
    <t>Máxima Carga (N)</t>
  </si>
  <si>
    <t xml:space="preserve">Variável dependente: </t>
  </si>
  <si>
    <t>0% NaOH</t>
  </si>
  <si>
    <t>30 Dias</t>
  </si>
  <si>
    <t>180 Dias</t>
  </si>
  <si>
    <t>3% NaOH</t>
  </si>
  <si>
    <t>6% NaOH</t>
  </si>
  <si>
    <t>9% NaOH</t>
  </si>
  <si>
    <t>Diferença média (I-J)</t>
  </si>
  <si>
    <t>Bootstrap para Comparações por Método Pairwise</t>
  </si>
  <si>
    <t>Degradação</t>
  </si>
  <si>
    <t>Viés</t>
  </si>
  <si>
    <t>Sig. (2 extremidades)</t>
  </si>
  <si>
    <t>BCa 95% de Intervalo de Confiança</t>
  </si>
  <si>
    <t>Inferior</t>
  </si>
  <si>
    <t>Superior</t>
  </si>
  <si>
    <t>a. A menos que indicado de outra maneira, os resultados da bootstrap são baseados em 1000 amostras bootstrap</t>
  </si>
  <si>
    <r>
      <t>Bootstrap</t>
    </r>
    <r>
      <rPr>
        <vertAlign val="superscript"/>
        <sz val="9"/>
        <color indexed="62"/>
        <rFont val="Arial"/>
      </rPr>
      <t>a</t>
    </r>
  </si>
  <si>
    <r>
      <t>,001</t>
    </r>
    <r>
      <rPr>
        <vertAlign val="superscript"/>
        <sz val="9"/>
        <color indexed="60"/>
        <rFont val="Arial"/>
      </rPr>
      <t>g</t>
    </r>
  </si>
  <si>
    <r>
      <t>,001</t>
    </r>
    <r>
      <rPr>
        <vertAlign val="superscript"/>
        <sz val="9"/>
        <color indexed="60"/>
        <rFont val="Arial"/>
      </rPr>
      <t>f</t>
    </r>
  </si>
  <si>
    <t>Resistencia a tração (N/mm)</t>
  </si>
  <si>
    <t>b. Baseado em 905 amostras</t>
  </si>
  <si>
    <t>c. Baseado em 922 amostras</t>
  </si>
  <si>
    <t>d. Baseado em 912 amostras</t>
  </si>
  <si>
    <t>e. Baseado em 904 amostras</t>
  </si>
  <si>
    <t>f. Baseado em 911 amostras</t>
  </si>
  <si>
    <t>g. Baseado em 903 amostras</t>
  </si>
  <si>
    <t>h. Baseado em 892 amostras</t>
  </si>
  <si>
    <t>i. Baseado em 894 amostras</t>
  </si>
  <si>
    <t>j. Baseado em 916 amostras</t>
  </si>
  <si>
    <t>k. Baseado em 918 amostras</t>
  </si>
  <si>
    <t>l. Baseado em 915 amostras</t>
  </si>
  <si>
    <t>m. Baseado em 908 amostras</t>
  </si>
  <si>
    <t>n. Baseado em 901 amostras</t>
  </si>
  <si>
    <t>o. Baseado em 913 amostras</t>
  </si>
  <si>
    <t>p. Baseado em 917 amostras</t>
  </si>
  <si>
    <t>q. Baseado em 910 amostras</t>
  </si>
  <si>
    <t>r. Baseado em 902 amostras</t>
  </si>
  <si>
    <t>s. Baseado em 921 amostras</t>
  </si>
  <si>
    <t>t. Baseado em 909 amostras</t>
  </si>
  <si>
    <t>u. Baseado em 889 amostras</t>
  </si>
  <si>
    <t>v. Baseado em 914 amostras</t>
  </si>
  <si>
    <r>
      <t>-,039</t>
    </r>
    <r>
      <rPr>
        <vertAlign val="superscript"/>
        <sz val="9"/>
        <color indexed="60"/>
        <rFont val="Arial"/>
      </rPr>
      <t>b</t>
    </r>
  </si>
  <si>
    <r>
      <t>1,108</t>
    </r>
    <r>
      <rPr>
        <vertAlign val="superscript"/>
        <sz val="9"/>
        <color indexed="60"/>
        <rFont val="Arial"/>
      </rPr>
      <t>b</t>
    </r>
  </si>
  <si>
    <r>
      <t>,001</t>
    </r>
    <r>
      <rPr>
        <vertAlign val="superscript"/>
        <sz val="9"/>
        <color indexed="60"/>
        <rFont val="Arial"/>
      </rPr>
      <t>b</t>
    </r>
  </si>
  <si>
    <r>
      <t>-13,575</t>
    </r>
    <r>
      <rPr>
        <vertAlign val="superscript"/>
        <sz val="9"/>
        <color indexed="60"/>
        <rFont val="Arial"/>
      </rPr>
      <t>b</t>
    </r>
  </si>
  <si>
    <r>
      <t>-8,474</t>
    </r>
    <r>
      <rPr>
        <vertAlign val="superscript"/>
        <sz val="9"/>
        <color indexed="60"/>
        <rFont val="Arial"/>
      </rPr>
      <t>b</t>
    </r>
  </si>
  <si>
    <r>
      <t>,029</t>
    </r>
    <r>
      <rPr>
        <vertAlign val="superscript"/>
        <sz val="9"/>
        <color indexed="60"/>
        <rFont val="Arial"/>
      </rPr>
      <t>d</t>
    </r>
  </si>
  <si>
    <r>
      <t>1,461</t>
    </r>
    <r>
      <rPr>
        <vertAlign val="superscript"/>
        <sz val="9"/>
        <color indexed="60"/>
        <rFont val="Arial"/>
      </rPr>
      <t>d</t>
    </r>
  </si>
  <si>
    <r>
      <t>,494</t>
    </r>
    <r>
      <rPr>
        <vertAlign val="superscript"/>
        <sz val="9"/>
        <color indexed="60"/>
        <rFont val="Arial"/>
      </rPr>
      <t>d</t>
    </r>
  </si>
  <si>
    <r>
      <t>-3,526</t>
    </r>
    <r>
      <rPr>
        <vertAlign val="superscript"/>
        <sz val="9"/>
        <color indexed="60"/>
        <rFont val="Arial"/>
      </rPr>
      <t>d</t>
    </r>
  </si>
  <si>
    <r>
      <t>2,187</t>
    </r>
    <r>
      <rPr>
        <vertAlign val="superscript"/>
        <sz val="9"/>
        <color indexed="60"/>
        <rFont val="Arial"/>
      </rPr>
      <t>d</t>
    </r>
  </si>
  <si>
    <r>
      <t>-,119</t>
    </r>
    <r>
      <rPr>
        <vertAlign val="superscript"/>
        <sz val="9"/>
        <color indexed="60"/>
        <rFont val="Arial"/>
      </rPr>
      <t>g</t>
    </r>
  </si>
  <si>
    <r>
      <t>2,469</t>
    </r>
    <r>
      <rPr>
        <vertAlign val="superscript"/>
        <sz val="9"/>
        <color indexed="60"/>
        <rFont val="Arial"/>
      </rPr>
      <t>g</t>
    </r>
  </si>
  <si>
    <r>
      <t>-22,237</t>
    </r>
    <r>
      <rPr>
        <vertAlign val="superscript"/>
        <sz val="9"/>
        <color indexed="60"/>
        <rFont val="Arial"/>
      </rPr>
      <t>g</t>
    </r>
  </si>
  <si>
    <r>
      <t>-13,034</t>
    </r>
    <r>
      <rPr>
        <vertAlign val="superscript"/>
        <sz val="9"/>
        <color indexed="60"/>
        <rFont val="Arial"/>
      </rPr>
      <t>g</t>
    </r>
  </si>
  <si>
    <r>
      <t>,036</t>
    </r>
    <r>
      <rPr>
        <vertAlign val="superscript"/>
        <sz val="9"/>
        <color indexed="60"/>
        <rFont val="Arial"/>
      </rPr>
      <t>p</t>
    </r>
  </si>
  <si>
    <r>
      <t>1,738</t>
    </r>
    <r>
      <rPr>
        <vertAlign val="superscript"/>
        <sz val="9"/>
        <color indexed="60"/>
        <rFont val="Arial"/>
      </rPr>
      <t>p</t>
    </r>
  </si>
  <si>
    <r>
      <t>,001</t>
    </r>
    <r>
      <rPr>
        <vertAlign val="superscript"/>
        <sz val="9"/>
        <color indexed="60"/>
        <rFont val="Arial"/>
      </rPr>
      <t>p</t>
    </r>
  </si>
  <si>
    <r>
      <t>6,932</t>
    </r>
    <r>
      <rPr>
        <vertAlign val="superscript"/>
        <sz val="9"/>
        <color indexed="60"/>
        <rFont val="Arial"/>
      </rPr>
      <t>p</t>
    </r>
  </si>
  <si>
    <r>
      <t>13,158</t>
    </r>
    <r>
      <rPr>
        <vertAlign val="superscript"/>
        <sz val="9"/>
        <color indexed="60"/>
        <rFont val="Arial"/>
      </rPr>
      <t>p</t>
    </r>
  </si>
  <si>
    <r>
      <t>-,123</t>
    </r>
    <r>
      <rPr>
        <vertAlign val="superscript"/>
        <sz val="9"/>
        <color indexed="60"/>
        <rFont val="Arial"/>
      </rPr>
      <t>b</t>
    </r>
  </si>
  <si>
    <r>
      <t>2,619</t>
    </r>
    <r>
      <rPr>
        <vertAlign val="superscript"/>
        <sz val="9"/>
        <color indexed="60"/>
        <rFont val="Arial"/>
      </rPr>
      <t>b</t>
    </r>
  </si>
  <si>
    <r>
      <t>,010</t>
    </r>
    <r>
      <rPr>
        <vertAlign val="superscript"/>
        <sz val="9"/>
        <color indexed="60"/>
        <rFont val="Arial"/>
      </rPr>
      <t>b</t>
    </r>
  </si>
  <si>
    <r>
      <t>-11,918</t>
    </r>
    <r>
      <rPr>
        <vertAlign val="superscript"/>
        <sz val="9"/>
        <color indexed="60"/>
        <rFont val="Arial"/>
      </rPr>
      <t>b</t>
    </r>
  </si>
  <si>
    <r>
      <t>-2,190</t>
    </r>
    <r>
      <rPr>
        <vertAlign val="superscript"/>
        <sz val="9"/>
        <color indexed="60"/>
        <rFont val="Arial"/>
      </rPr>
      <t>b</t>
    </r>
  </si>
  <si>
    <r>
      <t>-,150</t>
    </r>
    <r>
      <rPr>
        <vertAlign val="superscript"/>
        <sz val="9"/>
        <color indexed="60"/>
        <rFont val="Arial"/>
      </rPr>
      <t>f</t>
    </r>
  </si>
  <si>
    <r>
      <t>2,745</t>
    </r>
    <r>
      <rPr>
        <vertAlign val="superscript"/>
        <sz val="9"/>
        <color indexed="60"/>
        <rFont val="Arial"/>
      </rPr>
      <t>f</t>
    </r>
  </si>
  <si>
    <r>
      <t>-22,691</t>
    </r>
    <r>
      <rPr>
        <vertAlign val="superscript"/>
        <sz val="9"/>
        <color indexed="60"/>
        <rFont val="Arial"/>
      </rPr>
      <t>f</t>
    </r>
  </si>
  <si>
    <r>
      <t>-11,889</t>
    </r>
    <r>
      <rPr>
        <vertAlign val="superscript"/>
        <sz val="9"/>
        <color indexed="60"/>
        <rFont val="Arial"/>
      </rPr>
      <t>f</t>
    </r>
  </si>
  <si>
    <r>
      <t>,105</t>
    </r>
    <r>
      <rPr>
        <vertAlign val="superscript"/>
        <sz val="9"/>
        <color indexed="60"/>
        <rFont val="Arial"/>
      </rPr>
      <t>f</t>
    </r>
  </si>
  <si>
    <r>
      <t>2,173</t>
    </r>
    <r>
      <rPr>
        <vertAlign val="superscript"/>
        <sz val="9"/>
        <color indexed="60"/>
        <rFont val="Arial"/>
      </rPr>
      <t>f</t>
    </r>
  </si>
  <si>
    <r>
      <t>,251</t>
    </r>
    <r>
      <rPr>
        <vertAlign val="superscript"/>
        <sz val="9"/>
        <color indexed="60"/>
        <rFont val="Arial"/>
      </rPr>
      <t>f</t>
    </r>
  </si>
  <si>
    <r>
      <t>-8,113</t>
    </r>
    <r>
      <rPr>
        <vertAlign val="superscript"/>
        <sz val="9"/>
        <color indexed="60"/>
        <rFont val="Arial"/>
      </rPr>
      <t>f</t>
    </r>
  </si>
  <si>
    <r>
      <t>1,280</t>
    </r>
    <r>
      <rPr>
        <vertAlign val="superscript"/>
        <sz val="9"/>
        <color indexed="60"/>
        <rFont val="Arial"/>
      </rPr>
      <t>f</t>
    </r>
  </si>
  <si>
    <r>
      <t>,035</t>
    </r>
    <r>
      <rPr>
        <vertAlign val="superscript"/>
        <sz val="9"/>
        <color indexed="60"/>
        <rFont val="Arial"/>
      </rPr>
      <t>k</t>
    </r>
  </si>
  <si>
    <r>
      <t>1,027</t>
    </r>
    <r>
      <rPr>
        <vertAlign val="superscript"/>
        <sz val="9"/>
        <color indexed="60"/>
        <rFont val="Arial"/>
      </rPr>
      <t>k</t>
    </r>
  </si>
  <si>
    <r>
      <t>,848</t>
    </r>
    <r>
      <rPr>
        <vertAlign val="superscript"/>
        <sz val="9"/>
        <color indexed="60"/>
        <rFont val="Arial"/>
      </rPr>
      <t>k</t>
    </r>
  </si>
  <si>
    <r>
      <t>-1,313</t>
    </r>
    <r>
      <rPr>
        <vertAlign val="superscript"/>
        <sz val="9"/>
        <color indexed="60"/>
        <rFont val="Arial"/>
      </rPr>
      <t>k</t>
    </r>
  </si>
  <si>
    <r>
      <t>2,558</t>
    </r>
    <r>
      <rPr>
        <vertAlign val="superscript"/>
        <sz val="9"/>
        <color indexed="60"/>
        <rFont val="Arial"/>
      </rPr>
      <t>k</t>
    </r>
  </si>
  <si>
    <r>
      <t>-,069</t>
    </r>
    <r>
      <rPr>
        <vertAlign val="superscript"/>
        <sz val="9"/>
        <color indexed="60"/>
        <rFont val="Arial"/>
      </rPr>
      <t>b</t>
    </r>
  </si>
  <si>
    <r>
      <t>2,603</t>
    </r>
    <r>
      <rPr>
        <vertAlign val="superscript"/>
        <sz val="9"/>
        <color indexed="60"/>
        <rFont val="Arial"/>
      </rPr>
      <t>b</t>
    </r>
  </si>
  <si>
    <r>
      <t>,024</t>
    </r>
    <r>
      <rPr>
        <vertAlign val="superscript"/>
        <sz val="9"/>
        <color indexed="60"/>
        <rFont val="Arial"/>
      </rPr>
      <t>b</t>
    </r>
  </si>
  <si>
    <r>
      <t>-11,695</t>
    </r>
    <r>
      <rPr>
        <vertAlign val="superscript"/>
        <sz val="9"/>
        <color indexed="60"/>
        <rFont val="Arial"/>
      </rPr>
      <t>b</t>
    </r>
  </si>
  <si>
    <r>
      <t>-,987</t>
    </r>
    <r>
      <rPr>
        <vertAlign val="superscript"/>
        <sz val="9"/>
        <color indexed="60"/>
        <rFont val="Arial"/>
      </rPr>
      <t>b</t>
    </r>
  </si>
  <si>
    <r>
      <t>-,072</t>
    </r>
    <r>
      <rPr>
        <vertAlign val="superscript"/>
        <sz val="9"/>
        <color indexed="60"/>
        <rFont val="Arial"/>
      </rPr>
      <t>s</t>
    </r>
  </si>
  <si>
    <r>
      <t>1,919</t>
    </r>
    <r>
      <rPr>
        <vertAlign val="superscript"/>
        <sz val="9"/>
        <color indexed="60"/>
        <rFont val="Arial"/>
      </rPr>
      <t>s</t>
    </r>
  </si>
  <si>
    <r>
      <t>,137</t>
    </r>
    <r>
      <rPr>
        <vertAlign val="superscript"/>
        <sz val="9"/>
        <color indexed="60"/>
        <rFont val="Arial"/>
      </rPr>
      <t>s</t>
    </r>
  </si>
  <si>
    <r>
      <t>,765</t>
    </r>
    <r>
      <rPr>
        <vertAlign val="superscript"/>
        <sz val="9"/>
        <color indexed="60"/>
        <rFont val="Arial"/>
      </rPr>
      <t>s</t>
    </r>
  </si>
  <si>
    <r>
      <t>7,343</t>
    </r>
    <r>
      <rPr>
        <vertAlign val="superscript"/>
        <sz val="9"/>
        <color indexed="60"/>
        <rFont val="Arial"/>
      </rPr>
      <t>s</t>
    </r>
  </si>
  <si>
    <r>
      <t>-,176</t>
    </r>
    <r>
      <rPr>
        <vertAlign val="superscript"/>
        <sz val="9"/>
        <color indexed="60"/>
        <rFont val="Arial"/>
      </rPr>
      <t>q</t>
    </r>
  </si>
  <si>
    <r>
      <t>3,034</t>
    </r>
    <r>
      <rPr>
        <vertAlign val="superscript"/>
        <sz val="9"/>
        <color indexed="60"/>
        <rFont val="Arial"/>
      </rPr>
      <t>q</t>
    </r>
  </si>
  <si>
    <r>
      <t>,283</t>
    </r>
    <r>
      <rPr>
        <vertAlign val="superscript"/>
        <sz val="9"/>
        <color indexed="60"/>
        <rFont val="Arial"/>
      </rPr>
      <t>q</t>
    </r>
  </si>
  <si>
    <r>
      <t>-9,606</t>
    </r>
    <r>
      <rPr>
        <vertAlign val="superscript"/>
        <sz val="9"/>
        <color indexed="60"/>
        <rFont val="Arial"/>
      </rPr>
      <t>q</t>
    </r>
  </si>
  <si>
    <r>
      <t>1,902</t>
    </r>
    <r>
      <rPr>
        <vertAlign val="superscript"/>
        <sz val="9"/>
        <color indexed="60"/>
        <rFont val="Arial"/>
      </rPr>
      <t>q</t>
    </r>
  </si>
  <si>
    <r>
      <t>-,141</t>
    </r>
    <r>
      <rPr>
        <vertAlign val="superscript"/>
        <sz val="9"/>
        <color indexed="60"/>
        <rFont val="Arial"/>
      </rPr>
      <t>v</t>
    </r>
  </si>
  <si>
    <r>
      <t>2,384</t>
    </r>
    <r>
      <rPr>
        <vertAlign val="superscript"/>
        <sz val="9"/>
        <color indexed="60"/>
        <rFont val="Arial"/>
      </rPr>
      <t>v</t>
    </r>
  </si>
  <si>
    <r>
      <t>,013</t>
    </r>
    <r>
      <rPr>
        <vertAlign val="superscript"/>
        <sz val="9"/>
        <color indexed="60"/>
        <rFont val="Arial"/>
      </rPr>
      <t>v</t>
    </r>
  </si>
  <si>
    <r>
      <t>-11,031</t>
    </r>
    <r>
      <rPr>
        <vertAlign val="superscript"/>
        <sz val="9"/>
        <color indexed="60"/>
        <rFont val="Arial"/>
      </rPr>
      <t>v</t>
    </r>
  </si>
  <si>
    <r>
      <t>-2,320</t>
    </r>
    <r>
      <rPr>
        <vertAlign val="superscript"/>
        <sz val="9"/>
        <color indexed="60"/>
        <rFont val="Arial"/>
      </rPr>
      <t>v</t>
    </r>
  </si>
  <si>
    <t>Extensão em máxima carga</t>
  </si>
  <si>
    <t>Módulo yong</t>
  </si>
  <si>
    <t>Resistencia tração (N/mm)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</si>
</sst>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%"/>
    <numFmt numFmtId="166" formatCode="###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</font>
    <font>
      <b/>
      <sz val="11"/>
      <color indexed="60"/>
      <name val="Arial Bold"/>
    </font>
    <font>
      <sz val="9"/>
      <color indexed="60"/>
      <name val="Arial"/>
    </font>
    <font>
      <sz val="9"/>
      <color indexed="62"/>
      <name val="Arial"/>
    </font>
    <font>
      <vertAlign val="superscript"/>
      <sz val="9"/>
      <color indexed="62"/>
      <name val="Arial"/>
    </font>
    <font>
      <vertAlign val="superscript"/>
      <sz val="9"/>
      <color indexed="60"/>
      <name val="Arial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indexed="61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61"/>
      </top>
      <bottom/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/>
      <top style="thin">
        <color indexed="22"/>
      </top>
      <bottom/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/>
      <right/>
      <top/>
      <bottom style="thin">
        <color indexed="22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72">
    <xf numFmtId="0" fontId="0" fillId="0" borderId="0" xfId="0"/>
    <xf numFmtId="10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9" fontId="0" fillId="0" borderId="0" xfId="0" applyNumberFormat="1"/>
    <xf numFmtId="2" fontId="0" fillId="0" borderId="0" xfId="1" applyNumberFormat="1" applyFont="1"/>
    <xf numFmtId="165" fontId="0" fillId="0" borderId="0" xfId="1" applyNumberFormat="1" applyFont="1"/>
    <xf numFmtId="165" fontId="0" fillId="0" borderId="0" xfId="0" applyNumberForma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9" fontId="2" fillId="3" borderId="6" xfId="0" applyNumberFormat="1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right" wrapText="1"/>
    </xf>
    <xf numFmtId="9" fontId="2" fillId="4" borderId="6" xfId="0" applyNumberFormat="1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9" fontId="2" fillId="5" borderId="6" xfId="0" applyNumberFormat="1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3" fillId="5" borderId="3" xfId="0" applyFont="1" applyFill="1" applyBorder="1" applyAlignment="1">
      <alignment horizontal="center" wrapText="1"/>
    </xf>
    <xf numFmtId="9" fontId="2" fillId="6" borderId="6" xfId="0" applyNumberFormat="1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center" wrapText="1"/>
    </xf>
    <xf numFmtId="0" fontId="3" fillId="6" borderId="3" xfId="0" applyFont="1" applyFill="1" applyBorder="1" applyAlignment="1">
      <alignment horizontal="center" wrapText="1"/>
    </xf>
    <xf numFmtId="9" fontId="2" fillId="7" borderId="6" xfId="0" applyNumberFormat="1" applyFont="1" applyFill="1" applyBorder="1" applyAlignment="1">
      <alignment horizontal="center" wrapText="1"/>
    </xf>
    <xf numFmtId="0" fontId="2" fillId="7" borderId="3" xfId="0" applyFont="1" applyFill="1" applyBorder="1" applyAlignment="1">
      <alignment horizontal="center" wrapText="1"/>
    </xf>
    <xf numFmtId="0" fontId="3" fillId="7" borderId="3" xfId="0" applyFont="1" applyFill="1" applyBorder="1" applyAlignment="1">
      <alignment horizontal="center" wrapText="1"/>
    </xf>
    <xf numFmtId="9" fontId="2" fillId="8" borderId="6" xfId="0" applyNumberFormat="1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3" fillId="8" borderId="3" xfId="0" applyFont="1" applyFill="1" applyBorder="1" applyAlignment="1">
      <alignment horizontal="center" wrapText="1"/>
    </xf>
    <xf numFmtId="9" fontId="2" fillId="8" borderId="7" xfId="0" applyNumberFormat="1" applyFont="1" applyFill="1" applyBorder="1" applyAlignment="1">
      <alignment horizontal="center" wrapText="1"/>
    </xf>
    <xf numFmtId="0" fontId="2" fillId="8" borderId="4" xfId="0" applyFont="1" applyFill="1" applyBorder="1" applyAlignment="1">
      <alignment horizontal="center" wrapText="1"/>
    </xf>
    <xf numFmtId="0" fontId="3" fillId="8" borderId="4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0" fillId="0" borderId="0" xfId="0" applyAlignment="1">
      <alignment wrapText="1"/>
    </xf>
    <xf numFmtId="0" fontId="4" fillId="0" borderId="0" xfId="2"/>
    <xf numFmtId="0" fontId="7" fillId="0" borderId="10" xfId="2" applyFont="1" applyBorder="1" applyAlignment="1">
      <alignment horizontal="center" wrapText="1"/>
    </xf>
    <xf numFmtId="0" fontId="7" fillId="0" borderId="11" xfId="2" applyFont="1" applyBorder="1" applyAlignment="1">
      <alignment horizontal="center" wrapText="1"/>
    </xf>
    <xf numFmtId="0" fontId="7" fillId="10" borderId="13" xfId="2" applyFont="1" applyFill="1" applyBorder="1" applyAlignment="1">
      <alignment horizontal="left" vertical="top" wrapText="1"/>
    </xf>
    <xf numFmtId="0" fontId="7" fillId="10" borderId="17" xfId="2" applyFont="1" applyFill="1" applyBorder="1" applyAlignment="1">
      <alignment horizontal="left" vertical="top" wrapText="1"/>
    </xf>
    <xf numFmtId="0" fontId="7" fillId="10" borderId="21" xfId="2" applyFont="1" applyFill="1" applyBorder="1" applyAlignment="1">
      <alignment horizontal="left" vertical="top" wrapText="1"/>
    </xf>
    <xf numFmtId="166" fontId="6" fillId="9" borderId="14" xfId="2" applyNumberFormat="1" applyFont="1" applyFill="1" applyBorder="1" applyAlignment="1">
      <alignment horizontal="right" vertical="top"/>
    </xf>
    <xf numFmtId="166" fontId="6" fillId="9" borderId="18" xfId="2" applyNumberFormat="1" applyFont="1" applyFill="1" applyBorder="1" applyAlignment="1">
      <alignment horizontal="right" vertical="top"/>
    </xf>
    <xf numFmtId="166" fontId="6" fillId="9" borderId="22" xfId="2" applyNumberFormat="1" applyFont="1" applyFill="1" applyBorder="1" applyAlignment="1">
      <alignment horizontal="right" vertical="top"/>
    </xf>
    <xf numFmtId="0" fontId="6" fillId="9" borderId="15" xfId="2" applyFont="1" applyFill="1" applyBorder="1" applyAlignment="1">
      <alignment horizontal="right" vertical="top"/>
    </xf>
    <xf numFmtId="0" fontId="6" fillId="9" borderId="16" xfId="2" applyFont="1" applyFill="1" applyBorder="1" applyAlignment="1">
      <alignment horizontal="right" vertical="top"/>
    </xf>
    <xf numFmtId="0" fontId="6" fillId="9" borderId="19" xfId="2" applyFont="1" applyFill="1" applyBorder="1" applyAlignment="1">
      <alignment horizontal="right" vertical="top"/>
    </xf>
    <xf numFmtId="0" fontId="6" fillId="9" borderId="20" xfId="2" applyFont="1" applyFill="1" applyBorder="1" applyAlignment="1">
      <alignment horizontal="right" vertical="top"/>
    </xf>
    <xf numFmtId="0" fontId="6" fillId="9" borderId="23" xfId="2" applyFont="1" applyFill="1" applyBorder="1" applyAlignment="1">
      <alignment horizontal="right" vertical="top"/>
    </xf>
    <xf numFmtId="0" fontId="6" fillId="9" borderId="24" xfId="2" applyFont="1" applyFill="1" applyBorder="1" applyAlignment="1">
      <alignment horizontal="right" vertical="top"/>
    </xf>
    <xf numFmtId="0" fontId="7" fillId="10" borderId="21" xfId="2" applyFont="1" applyFill="1" applyBorder="1" applyAlignment="1">
      <alignment vertical="top" wrapText="1"/>
    </xf>
    <xf numFmtId="0" fontId="3" fillId="3" borderId="29" xfId="0" applyFont="1" applyFill="1" applyBorder="1" applyAlignment="1">
      <alignment horizontal="center" wrapText="1"/>
    </xf>
    <xf numFmtId="0" fontId="5" fillId="0" borderId="0" xfId="2" applyFont="1" applyAlignment="1">
      <alignment horizontal="center" vertical="center" wrapText="1"/>
    </xf>
    <xf numFmtId="0" fontId="6" fillId="9" borderId="0" xfId="2" applyFont="1" applyFill="1"/>
    <xf numFmtId="0" fontId="4" fillId="0" borderId="0" xfId="2"/>
    <xf numFmtId="0" fontId="7" fillId="0" borderId="0" xfId="2" applyFont="1" applyAlignment="1">
      <alignment horizontal="left" wrapText="1"/>
    </xf>
    <xf numFmtId="0" fontId="7" fillId="0" borderId="8" xfId="2" applyFont="1" applyBorder="1" applyAlignment="1">
      <alignment horizontal="left" wrapText="1"/>
    </xf>
    <xf numFmtId="0" fontId="7" fillId="0" borderId="25" xfId="2" applyFont="1" applyBorder="1" applyAlignment="1">
      <alignment horizontal="center" wrapText="1"/>
    </xf>
    <xf numFmtId="0" fontId="7" fillId="0" borderId="9" xfId="2" applyFont="1" applyBorder="1" applyAlignment="1">
      <alignment horizontal="center" wrapText="1"/>
    </xf>
    <xf numFmtId="0" fontId="7" fillId="0" borderId="26" xfId="2" applyFont="1" applyBorder="1" applyAlignment="1">
      <alignment horizontal="center" wrapText="1"/>
    </xf>
    <xf numFmtId="0" fontId="7" fillId="0" borderId="27" xfId="2" applyFont="1" applyBorder="1" applyAlignment="1">
      <alignment horizontal="center" wrapText="1"/>
    </xf>
    <xf numFmtId="0" fontId="7" fillId="0" borderId="10" xfId="2" applyFont="1" applyBorder="1" applyAlignment="1">
      <alignment horizontal="center" wrapText="1"/>
    </xf>
    <xf numFmtId="0" fontId="6" fillId="0" borderId="0" xfId="2" applyFont="1" applyAlignment="1">
      <alignment horizontal="left" vertical="top" wrapText="1"/>
    </xf>
    <xf numFmtId="0" fontId="7" fillId="10" borderId="21" xfId="2" applyFont="1" applyFill="1" applyBorder="1" applyAlignment="1">
      <alignment horizontal="left" vertical="top" wrapText="1"/>
    </xf>
    <xf numFmtId="0" fontId="7" fillId="10" borderId="17" xfId="2" applyFont="1" applyFill="1" applyBorder="1" applyAlignment="1">
      <alignment horizontal="left" vertical="top" wrapText="1"/>
    </xf>
    <xf numFmtId="0" fontId="7" fillId="10" borderId="12" xfId="2" applyFont="1" applyFill="1" applyBorder="1" applyAlignment="1">
      <alignment horizontal="left" vertical="top" wrapText="1"/>
    </xf>
    <xf numFmtId="0" fontId="7" fillId="10" borderId="21" xfId="2" applyFont="1" applyFill="1" applyBorder="1" applyAlignment="1">
      <alignment horizontal="center" vertical="top" wrapText="1"/>
    </xf>
    <xf numFmtId="0" fontId="7" fillId="10" borderId="28" xfId="2" applyFont="1" applyFill="1" applyBorder="1" applyAlignment="1">
      <alignment horizontal="center" vertical="top" wrapText="1"/>
    </xf>
  </cellXfs>
  <cellStyles count="3">
    <cellStyle name="Normal" xfId="0" builtinId="0"/>
    <cellStyle name="Normal_Planilha2" xfId="2" xr:uid="{0AEAEC5C-03D6-48E0-8814-5D52133631FC}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13373683991497"/>
          <c:y val="4.2627410798252427E-2"/>
          <c:w val="0.82013908754559273"/>
          <c:h val="0.7853000426579243"/>
        </c:manualLayout>
      </c:layout>
      <c:scatterChart>
        <c:scatterStyle val="lineMarker"/>
        <c:varyColors val="0"/>
        <c:ser>
          <c:idx val="0"/>
          <c:order val="0"/>
          <c:tx>
            <c:strRef>
              <c:f>Deformação!$K$2</c:f>
              <c:strCache>
                <c:ptCount val="1"/>
                <c:pt idx="0">
                  <c:v>NaoH 3%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marker>
          <c:xVal>
            <c:numRef>
              <c:f>Deformação!$G$3:$G$8</c:f>
              <c:numCache>
                <c:formatCode>General</c:formatCode>
                <c:ptCount val="6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</c:numCache>
            </c:numRef>
          </c:xVal>
          <c:yVal>
            <c:numRef>
              <c:f>Deformação!$H$3:$H$8</c:f>
              <c:numCache>
                <c:formatCode>0.0%</c:formatCode>
                <c:ptCount val="6"/>
                <c:pt idx="0">
                  <c:v>3.4340000000000002E-2</c:v>
                </c:pt>
                <c:pt idx="1">
                  <c:v>5.1839999999999997E-2</c:v>
                </c:pt>
                <c:pt idx="2">
                  <c:v>3.5000000000000003E-2</c:v>
                </c:pt>
                <c:pt idx="3">
                  <c:v>9.9339999999999998E-2</c:v>
                </c:pt>
                <c:pt idx="4">
                  <c:v>3.1969999999999998E-2</c:v>
                </c:pt>
                <c:pt idx="5">
                  <c:v>4.9209999999999997E-2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28-4B82-84AD-60B970CDB870}"/>
            </c:ext>
          </c:extLst>
        </c:ser>
        <c:ser>
          <c:idx val="1"/>
          <c:order val="1"/>
          <c:tx>
            <c:strRef>
              <c:f>Deformação!$K$3</c:f>
              <c:strCache>
                <c:ptCount val="1"/>
                <c:pt idx="0">
                  <c:v>NaoH 6%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bg2">
                  <a:lumMod val="75000"/>
                </a:schemeClr>
              </a:solidFill>
              <a:ln w="9525">
                <a:solidFill>
                  <a:schemeClr val="bg2">
                    <a:lumMod val="75000"/>
                  </a:schemeClr>
                </a:solidFill>
              </a:ln>
              <a:effectLst/>
            </c:spPr>
          </c:marker>
          <c:xVal>
            <c:numRef>
              <c:f>Deformação!$G$10:$G$15</c:f>
              <c:numCache>
                <c:formatCode>General</c:formatCode>
                <c:ptCount val="6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</c:numCache>
            </c:numRef>
          </c:xVal>
          <c:yVal>
            <c:numRef>
              <c:f>Deformação!$H$10:$H$15</c:f>
              <c:numCache>
                <c:formatCode>0.0%</c:formatCode>
                <c:ptCount val="6"/>
                <c:pt idx="0">
                  <c:v>5.987E-2</c:v>
                </c:pt>
                <c:pt idx="1">
                  <c:v>6.9870000000000002E-2</c:v>
                </c:pt>
                <c:pt idx="2">
                  <c:v>3.1579999999999997E-2</c:v>
                </c:pt>
                <c:pt idx="3">
                  <c:v>4.6050000000000001E-2</c:v>
                </c:pt>
                <c:pt idx="4">
                  <c:v>8.9609999999999995E-2</c:v>
                </c:pt>
                <c:pt idx="5">
                  <c:v>4.3290000000000002E-2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28-4B82-84AD-60B970CDB870}"/>
            </c:ext>
          </c:extLst>
        </c:ser>
        <c:ser>
          <c:idx val="2"/>
          <c:order val="2"/>
          <c:tx>
            <c:strRef>
              <c:f>Deformação!$K$4</c:f>
              <c:strCache>
                <c:ptCount val="1"/>
                <c:pt idx="0">
                  <c:v>NaoH 9%</c:v>
                </c:pt>
              </c:strCache>
            </c:strRef>
          </c:tx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bg2">
                  <a:lumMod val="50000"/>
                  <a:alpha val="98000"/>
                </a:schemeClr>
              </a:solidFill>
              <a:ln w="9525">
                <a:solidFill>
                  <a:schemeClr val="bg2">
                    <a:lumMod val="50000"/>
                    <a:alpha val="99000"/>
                  </a:schemeClr>
                </a:solidFill>
              </a:ln>
              <a:effectLst/>
            </c:spPr>
          </c:marker>
          <c:xVal>
            <c:numRef>
              <c:f>Deformação!$G$17:$G$22</c:f>
              <c:numCache>
                <c:formatCode>General</c:formatCode>
                <c:ptCount val="6"/>
                <c:pt idx="0">
                  <c:v>30</c:v>
                </c:pt>
                <c:pt idx="1">
                  <c:v>60</c:v>
                </c:pt>
                <c:pt idx="2">
                  <c:v>90</c:v>
                </c:pt>
                <c:pt idx="3">
                  <c:v>120</c:v>
                </c:pt>
                <c:pt idx="4">
                  <c:v>150</c:v>
                </c:pt>
                <c:pt idx="5">
                  <c:v>180</c:v>
                </c:pt>
              </c:numCache>
            </c:numRef>
          </c:xVal>
          <c:yVal>
            <c:numRef>
              <c:f>Deformação!$H$17:$H$22</c:f>
              <c:numCache>
                <c:formatCode>0.0%</c:formatCode>
                <c:ptCount val="6"/>
                <c:pt idx="0">
                  <c:v>0.10395</c:v>
                </c:pt>
                <c:pt idx="1">
                  <c:v>0.11592</c:v>
                </c:pt>
                <c:pt idx="2">
                  <c:v>0.13367999999999999</c:v>
                </c:pt>
                <c:pt idx="3">
                  <c:v>8.4080000000000002E-2</c:v>
                </c:pt>
                <c:pt idx="4">
                  <c:v>5.5660000000000001E-2</c:v>
                </c:pt>
                <c:pt idx="5">
                  <c:v>3.6049999999999999E-2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E28-4B82-84AD-60B970CDB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077711"/>
        <c:axId val="2132081039"/>
      </c:scatterChart>
      <c:valAx>
        <c:axId val="2132077711"/>
        <c:scaling>
          <c:orientation val="minMax"/>
          <c:max val="180"/>
          <c:min val="3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Degradação  (Dias)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81039"/>
        <c:crossesAt val="0"/>
        <c:crossBetween val="midCat"/>
        <c:majorUnit val="30"/>
      </c:valAx>
      <c:valAx>
        <c:axId val="21320810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 baseline="0">
                    <a:solidFill>
                      <a:sysClr val="windowText" lastClr="000000"/>
                    </a:solidFill>
                  </a:rPr>
                  <a:t>Deformação (%)</a:t>
                </a:r>
                <a:endParaRPr lang="pt-BR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77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007399368296259"/>
          <c:y val="7.6389418637790293E-2"/>
          <c:w val="0.13225066641740074"/>
          <c:h val="0.196063913453301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13373683991497"/>
          <c:y val="4.2627410798252427E-2"/>
          <c:w val="0.82013908754559273"/>
          <c:h val="0.7853000426579243"/>
        </c:manualLayout>
      </c:layout>
      <c:scatterChart>
        <c:scatterStyle val="smoothMarker"/>
        <c:varyColors val="0"/>
        <c:ser>
          <c:idx val="2"/>
          <c:order val="0"/>
          <c:tx>
            <c:strRef>
              <c:f>Deformação!$K$4</c:f>
              <c:strCache>
                <c:ptCount val="1"/>
                <c:pt idx="0">
                  <c:v>NaoH 9%</c:v>
                </c:pt>
              </c:strCache>
            </c:strRef>
          </c:tx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bg2">
                  <a:lumMod val="50000"/>
                  <a:alpha val="98000"/>
                </a:schemeClr>
              </a:solidFill>
              <a:ln w="9525">
                <a:solidFill>
                  <a:schemeClr val="bg2">
                    <a:lumMod val="50000"/>
                    <a:alpha val="99000"/>
                  </a:schemeClr>
                </a:solidFill>
              </a:ln>
              <a:effectLst/>
            </c:spPr>
          </c:marker>
          <c:xVal>
            <c:numRef>
              <c:f>'Tensão X deformação'!$G$17:$G$22</c:f>
              <c:numCache>
                <c:formatCode>0.00</c:formatCode>
                <c:ptCount val="6"/>
                <c:pt idx="0">
                  <c:v>4.08</c:v>
                </c:pt>
                <c:pt idx="1">
                  <c:v>4.26</c:v>
                </c:pt>
                <c:pt idx="2">
                  <c:v>2.71</c:v>
                </c:pt>
                <c:pt idx="3">
                  <c:v>1.93</c:v>
                </c:pt>
                <c:pt idx="4">
                  <c:v>1.67</c:v>
                </c:pt>
                <c:pt idx="5">
                  <c:v>0.8</c:v>
                </c:pt>
              </c:numCache>
            </c:numRef>
          </c:xVal>
          <c:yVal>
            <c:numRef>
              <c:f>'Tensão X deformação'!$H$17:$H$22</c:f>
              <c:numCache>
                <c:formatCode>0.0%</c:formatCode>
                <c:ptCount val="6"/>
                <c:pt idx="0">
                  <c:v>0.10395</c:v>
                </c:pt>
                <c:pt idx="1">
                  <c:v>0.11592</c:v>
                </c:pt>
                <c:pt idx="2">
                  <c:v>0.13367999999999999</c:v>
                </c:pt>
                <c:pt idx="3">
                  <c:v>8.4080000000000002E-2</c:v>
                </c:pt>
                <c:pt idx="4">
                  <c:v>5.5660000000000001E-2</c:v>
                </c:pt>
                <c:pt idx="5">
                  <c:v>3.6049999999999999E-2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2A8-4643-83DD-6E0995F5F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077711"/>
        <c:axId val="2132081039"/>
      </c:scatterChart>
      <c:valAx>
        <c:axId val="2132077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Tensão  (Dias)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81039"/>
        <c:crossesAt val="0"/>
        <c:crossBetween val="midCat"/>
        <c:dispUnits>
          <c:builtInUnit val="hundreds"/>
        </c:dispUnits>
      </c:valAx>
      <c:valAx>
        <c:axId val="21320810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 baseline="0">
                    <a:solidFill>
                      <a:sysClr val="windowText" lastClr="000000"/>
                    </a:solidFill>
                  </a:rPr>
                  <a:t>Deformação (%)</a:t>
                </a:r>
                <a:endParaRPr lang="pt-BR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77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007399368296259"/>
          <c:y val="7.6389418637790293E-2"/>
          <c:w val="0.1345533114765039"/>
          <c:h val="6.32866200508327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13373683991497"/>
          <c:y val="4.2627410798252427E-2"/>
          <c:w val="0.82013908754559273"/>
          <c:h val="0.7853000426579243"/>
        </c:manualLayout>
      </c:layout>
      <c:scatterChart>
        <c:scatterStyle val="lineMarker"/>
        <c:varyColors val="0"/>
        <c:ser>
          <c:idx val="2"/>
          <c:order val="0"/>
          <c:tx>
            <c:strRef>
              <c:f>Planilha1!$J$4</c:f>
              <c:strCache>
                <c:ptCount val="1"/>
                <c:pt idx="0">
                  <c:v>NaoH 9%</c:v>
                </c:pt>
              </c:strCache>
            </c:strRef>
          </c:tx>
          <c:spPr>
            <a:ln w="1905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bg2">
                  <a:lumMod val="50000"/>
                  <a:alpha val="98000"/>
                </a:schemeClr>
              </a:solidFill>
              <a:ln w="9525">
                <a:solidFill>
                  <a:schemeClr val="bg2">
                    <a:lumMod val="50000"/>
                    <a:alpha val="99000"/>
                  </a:schemeClr>
                </a:solidFill>
              </a:ln>
              <a:effectLst/>
            </c:spPr>
          </c:marker>
          <c:xVal>
            <c:numRef>
              <c:f>Planilha1!$G$17:$G$22</c:f>
              <c:numCache>
                <c:formatCode>0.00</c:formatCode>
                <c:ptCount val="6"/>
                <c:pt idx="0">
                  <c:v>107.72</c:v>
                </c:pt>
                <c:pt idx="1">
                  <c:v>86.46</c:v>
                </c:pt>
                <c:pt idx="2">
                  <c:v>47.59</c:v>
                </c:pt>
                <c:pt idx="3">
                  <c:v>52.98</c:v>
                </c:pt>
                <c:pt idx="4">
                  <c:v>60.75</c:v>
                </c:pt>
                <c:pt idx="5">
                  <c:v>59.75</c:v>
                </c:pt>
              </c:numCache>
            </c:numRef>
          </c:xVal>
          <c:yVal>
            <c:numRef>
              <c:f>Planilha1!$H$17:$H$22</c:f>
              <c:numCache>
                <c:formatCode>0.0%</c:formatCode>
                <c:ptCount val="6"/>
                <c:pt idx="0">
                  <c:v>0.10395</c:v>
                </c:pt>
                <c:pt idx="1">
                  <c:v>0.11592</c:v>
                </c:pt>
                <c:pt idx="2">
                  <c:v>0.13367999999999999</c:v>
                </c:pt>
                <c:pt idx="3">
                  <c:v>8.4080000000000002E-2</c:v>
                </c:pt>
                <c:pt idx="4">
                  <c:v>5.5660000000000001E-2</c:v>
                </c:pt>
                <c:pt idx="5">
                  <c:v>3.6049999999999999E-2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D7-40A4-B8C5-169E93081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077711"/>
        <c:axId val="2132081039"/>
      </c:scatterChart>
      <c:valAx>
        <c:axId val="2132077711"/>
        <c:scaling>
          <c:orientation val="minMax"/>
          <c:min val="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>
                    <a:solidFill>
                      <a:sysClr val="windowText" lastClr="000000"/>
                    </a:solidFill>
                  </a:rPr>
                  <a:t>Rigidez</a:t>
                </a:r>
                <a:r>
                  <a:rPr lang="pt-BR" b="1" baseline="0">
                    <a:solidFill>
                      <a:sysClr val="windowText" lastClr="000000"/>
                    </a:solidFill>
                  </a:rPr>
                  <a:t> secante</a:t>
                </a:r>
                <a:endParaRPr lang="pt-BR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81039"/>
        <c:crosses val="autoZero"/>
        <c:crossBetween val="midCat"/>
        <c:dispUnits>
          <c:builtInUnit val="hundreds"/>
        </c:dispUnits>
      </c:valAx>
      <c:valAx>
        <c:axId val="21320810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 baseline="0">
                    <a:solidFill>
                      <a:sysClr val="windowText" lastClr="000000"/>
                    </a:solidFill>
                  </a:rPr>
                  <a:t>Deformação (%)</a:t>
                </a:r>
                <a:endParaRPr lang="pt-BR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2077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007399368296259"/>
          <c:y val="7.6389418637790293E-2"/>
          <c:w val="0.1335544966244224"/>
          <c:h val="6.59581324019163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428625</xdr:colOff>
      <xdr:row>3</xdr:row>
      <xdr:rowOff>83184</xdr:rowOff>
    </xdr:from>
    <xdr:to>
      <xdr:col>21</xdr:col>
      <xdr:colOff>414655</xdr:colOff>
      <xdr:row>21</xdr:row>
      <xdr:rowOff>76306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15A2F9-A040-4672-965F-617420A1F8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175933</xdr:colOff>
      <xdr:row>4</xdr:row>
      <xdr:rowOff>122704</xdr:rowOff>
    </xdr:from>
    <xdr:to>
      <xdr:col>19</xdr:col>
      <xdr:colOff>118307</xdr:colOff>
      <xdr:row>22</xdr:row>
      <xdr:rowOff>80107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1F9573-F821-40BA-BF17-CEB1A88C2E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175933</xdr:colOff>
      <xdr:row>4</xdr:row>
      <xdr:rowOff>122704</xdr:rowOff>
    </xdr:from>
    <xdr:to>
      <xdr:col>19</xdr:col>
      <xdr:colOff>118307</xdr:colOff>
      <xdr:row>22</xdr:row>
      <xdr:rowOff>80107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BC33C38-8F3D-42E1-9223-A2C377637F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7"/>
  <sheetViews>
    <sheetView workbookViewId="0">
      <selection activeCell="G22" sqref="G22"/>
    </sheetView>
  </sheetViews>
  <sheetFormatPr defaultRowHeight="14.4"/>
  <cols>
    <col min="1" max="1" width="23" customWidth="1"/>
    <col min="4" max="4" width="18.44140625" bestFit="1" customWidth="1"/>
    <col min="5" max="5" width="12.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4">
        <v>0</v>
      </c>
      <c r="B2" s="4">
        <v>0</v>
      </c>
      <c r="C2" s="4">
        <v>1</v>
      </c>
      <c r="D2" s="3">
        <v>6.2895052629999997</v>
      </c>
      <c r="E2" s="2">
        <v>1</v>
      </c>
    </row>
    <row r="3" spans="1:5">
      <c r="A3" s="4">
        <v>0</v>
      </c>
      <c r="B3" s="4">
        <v>0</v>
      </c>
      <c r="C3" s="4">
        <v>2</v>
      </c>
      <c r="D3" s="3">
        <v>2.4605052629999999</v>
      </c>
      <c r="E3" s="2">
        <v>1</v>
      </c>
    </row>
    <row r="4" spans="1:5">
      <c r="A4" s="4">
        <v>0</v>
      </c>
      <c r="B4" s="4">
        <v>0</v>
      </c>
      <c r="C4" s="4">
        <v>3</v>
      </c>
      <c r="D4" s="3">
        <v>1.092068421</v>
      </c>
      <c r="E4" s="2">
        <v>1</v>
      </c>
    </row>
    <row r="5" spans="1:5">
      <c r="A5" s="4">
        <v>0</v>
      </c>
      <c r="B5" s="4">
        <v>0</v>
      </c>
      <c r="C5" s="4">
        <v>4</v>
      </c>
      <c r="D5" s="3">
        <v>1.4605263159999999</v>
      </c>
      <c r="E5" s="2">
        <v>1</v>
      </c>
    </row>
    <row r="6" spans="1:5">
      <c r="A6" s="4">
        <v>0</v>
      </c>
      <c r="B6" s="4">
        <v>0</v>
      </c>
      <c r="C6" s="4">
        <v>5</v>
      </c>
      <c r="D6" s="3">
        <v>1.8684315789999999</v>
      </c>
      <c r="E6" s="2">
        <v>1</v>
      </c>
    </row>
    <row r="7" spans="1:5">
      <c r="A7" s="4">
        <v>0</v>
      </c>
      <c r="B7" s="4">
        <v>0</v>
      </c>
      <c r="C7" s="4">
        <v>6</v>
      </c>
      <c r="D7" s="3">
        <v>4.8026210530000002</v>
      </c>
      <c r="E7" s="2">
        <v>1</v>
      </c>
    </row>
    <row r="8" spans="1:5">
      <c r="A8" s="4">
        <v>0</v>
      </c>
      <c r="B8" s="4">
        <v>0</v>
      </c>
      <c r="C8" s="4">
        <v>7</v>
      </c>
      <c r="D8" s="3">
        <v>3.131615789</v>
      </c>
      <c r="E8" s="2">
        <v>1</v>
      </c>
    </row>
    <row r="9" spans="1:5">
      <c r="A9" s="4">
        <v>0</v>
      </c>
      <c r="B9" s="4">
        <v>1</v>
      </c>
      <c r="C9" s="4">
        <v>1</v>
      </c>
      <c r="D9" s="3">
        <v>2.6579000000000002</v>
      </c>
      <c r="E9" s="2">
        <v>1</v>
      </c>
    </row>
    <row r="10" spans="1:5">
      <c r="A10" s="4">
        <v>0</v>
      </c>
      <c r="B10" s="4">
        <v>1</v>
      </c>
      <c r="C10" s="4">
        <v>2</v>
      </c>
      <c r="D10" s="3">
        <v>3.7631631579999998</v>
      </c>
      <c r="E10" s="2">
        <v>1</v>
      </c>
    </row>
    <row r="11" spans="1:5">
      <c r="A11" s="4">
        <v>0</v>
      </c>
      <c r="B11" s="4">
        <v>1</v>
      </c>
      <c r="C11" s="4">
        <v>3</v>
      </c>
      <c r="D11" s="3">
        <v>4.3289631579999996</v>
      </c>
      <c r="E11" s="2">
        <v>1</v>
      </c>
    </row>
    <row r="12" spans="1:5">
      <c r="A12" s="4">
        <v>0</v>
      </c>
      <c r="B12" s="4">
        <v>1</v>
      </c>
      <c r="C12" s="4">
        <v>4</v>
      </c>
      <c r="D12" s="3">
        <v>4.7105052629999999</v>
      </c>
      <c r="E12" s="2">
        <v>1</v>
      </c>
    </row>
    <row r="13" spans="1:5">
      <c r="A13" s="4">
        <v>0</v>
      </c>
      <c r="B13" s="4">
        <v>1</v>
      </c>
      <c r="C13" s="4">
        <v>5</v>
      </c>
      <c r="D13" s="3">
        <v>3.8289157889999998</v>
      </c>
      <c r="E13" s="2">
        <v>1</v>
      </c>
    </row>
    <row r="14" spans="1:5">
      <c r="A14" s="4">
        <v>0</v>
      </c>
      <c r="B14" s="4">
        <v>1</v>
      </c>
      <c r="C14" s="4">
        <v>6</v>
      </c>
      <c r="D14" s="3">
        <v>2.3840071280314956</v>
      </c>
      <c r="E14" s="2">
        <v>1</v>
      </c>
    </row>
    <row r="15" spans="1:5">
      <c r="A15" s="4">
        <v>0</v>
      </c>
      <c r="B15" s="4">
        <v>1</v>
      </c>
      <c r="C15" s="4">
        <v>7</v>
      </c>
      <c r="D15" s="3">
        <v>2.3840071280314956</v>
      </c>
      <c r="E15" s="2">
        <v>1</v>
      </c>
    </row>
    <row r="16" spans="1:5">
      <c r="A16" s="4">
        <v>0</v>
      </c>
      <c r="B16" s="4">
        <v>2</v>
      </c>
      <c r="C16" s="4">
        <v>1</v>
      </c>
      <c r="D16" s="3">
        <v>4.5658052629999997</v>
      </c>
      <c r="E16" s="2">
        <v>1</v>
      </c>
    </row>
    <row r="17" spans="1:5">
      <c r="A17" s="4">
        <v>0</v>
      </c>
      <c r="B17" s="4">
        <v>2</v>
      </c>
      <c r="C17" s="4">
        <v>2</v>
      </c>
      <c r="D17" s="3">
        <v>2.7368473679999998</v>
      </c>
      <c r="E17" s="2">
        <v>1</v>
      </c>
    </row>
    <row r="18" spans="1:5">
      <c r="A18" s="4">
        <v>0</v>
      </c>
      <c r="B18" s="4">
        <v>2</v>
      </c>
      <c r="C18" s="4">
        <v>3</v>
      </c>
      <c r="D18" s="3">
        <v>2.7894631580000002</v>
      </c>
      <c r="E18" s="2">
        <v>1</v>
      </c>
    </row>
    <row r="19" spans="1:5">
      <c r="A19" s="4">
        <v>0</v>
      </c>
      <c r="B19" s="4">
        <v>2</v>
      </c>
      <c r="C19" s="4">
        <v>4</v>
      </c>
      <c r="D19" s="3">
        <v>3.6184105259999999</v>
      </c>
      <c r="E19" s="2">
        <v>1</v>
      </c>
    </row>
    <row r="20" spans="1:5">
      <c r="A20" s="4">
        <v>0</v>
      </c>
      <c r="B20" s="4">
        <v>2</v>
      </c>
      <c r="C20" s="4">
        <v>5</v>
      </c>
      <c r="D20" s="3">
        <v>3.736831579</v>
      </c>
      <c r="E20" s="2">
        <v>1</v>
      </c>
    </row>
    <row r="21" spans="1:5">
      <c r="A21" s="4">
        <v>0</v>
      </c>
      <c r="B21" s="4">
        <v>2</v>
      </c>
      <c r="C21" s="4">
        <v>6</v>
      </c>
      <c r="D21" s="3">
        <v>2.434257895</v>
      </c>
      <c r="E21" s="2">
        <v>1</v>
      </c>
    </row>
    <row r="22" spans="1:5">
      <c r="A22" s="4">
        <v>0</v>
      </c>
      <c r="B22" s="4">
        <v>2</v>
      </c>
      <c r="C22" s="4">
        <v>7</v>
      </c>
      <c r="D22" s="3">
        <v>2.2499684210000002</v>
      </c>
      <c r="E22" s="2">
        <v>1</v>
      </c>
    </row>
    <row r="23" spans="1:5">
      <c r="A23" s="4">
        <v>0</v>
      </c>
      <c r="B23" s="4">
        <v>3</v>
      </c>
      <c r="C23" s="4">
        <v>1</v>
      </c>
      <c r="D23" s="3">
        <v>2.3421105259999999</v>
      </c>
      <c r="E23" s="2">
        <v>1</v>
      </c>
    </row>
    <row r="24" spans="1:5">
      <c r="A24" s="4">
        <v>0</v>
      </c>
      <c r="B24" s="4">
        <v>3</v>
      </c>
      <c r="C24" s="4">
        <v>2</v>
      </c>
      <c r="D24" s="3">
        <v>3.1053105259999998</v>
      </c>
      <c r="E24" s="2">
        <v>1</v>
      </c>
    </row>
    <row r="25" spans="1:5">
      <c r="A25" s="4">
        <v>0</v>
      </c>
      <c r="B25" s="4">
        <v>3</v>
      </c>
      <c r="C25" s="4">
        <v>3</v>
      </c>
      <c r="D25" s="3">
        <v>1.8421210530000001</v>
      </c>
      <c r="E25" s="2">
        <v>1</v>
      </c>
    </row>
    <row r="26" spans="1:5">
      <c r="A26" s="4">
        <v>0</v>
      </c>
      <c r="B26" s="4">
        <v>3</v>
      </c>
      <c r="C26" s="4">
        <v>4</v>
      </c>
      <c r="D26" s="3">
        <v>2.1710789469999998</v>
      </c>
      <c r="E26" s="2">
        <v>1</v>
      </c>
    </row>
    <row r="27" spans="1:5">
      <c r="A27" s="4">
        <v>0</v>
      </c>
      <c r="B27" s="4">
        <v>3</v>
      </c>
      <c r="C27" s="4">
        <v>5</v>
      </c>
      <c r="D27" s="3">
        <v>2.1973315790000001</v>
      </c>
      <c r="E27" s="2">
        <v>1</v>
      </c>
    </row>
    <row r="28" spans="1:5">
      <c r="A28" s="4">
        <v>0</v>
      </c>
      <c r="B28" s="4">
        <v>3</v>
      </c>
      <c r="C28" s="4">
        <v>6</v>
      </c>
      <c r="D28" s="3">
        <v>2.3684210530000001</v>
      </c>
      <c r="E28" s="2">
        <v>1</v>
      </c>
    </row>
    <row r="29" spans="1:5">
      <c r="A29" s="4">
        <v>0</v>
      </c>
      <c r="B29" s="4">
        <v>3</v>
      </c>
      <c r="C29" s="4">
        <v>7</v>
      </c>
      <c r="D29" s="3">
        <v>3.8026368420000001</v>
      </c>
      <c r="E29" s="2">
        <v>1</v>
      </c>
    </row>
    <row r="30" spans="1:5">
      <c r="A30" s="4">
        <v>0</v>
      </c>
      <c r="B30" s="4">
        <v>4</v>
      </c>
      <c r="C30" s="4">
        <v>1</v>
      </c>
      <c r="D30" s="3">
        <v>2.302610526</v>
      </c>
      <c r="E30" s="2">
        <v>1</v>
      </c>
    </row>
    <row r="31" spans="1:5">
      <c r="A31" s="4">
        <v>0</v>
      </c>
      <c r="B31" s="4">
        <v>4</v>
      </c>
      <c r="C31" s="4">
        <v>2</v>
      </c>
      <c r="D31" s="3">
        <v>2.486842105</v>
      </c>
      <c r="E31" s="2">
        <v>1</v>
      </c>
    </row>
    <row r="32" spans="1:5">
      <c r="A32" s="4">
        <v>0</v>
      </c>
      <c r="B32" s="4">
        <v>4</v>
      </c>
      <c r="C32" s="4">
        <v>3</v>
      </c>
      <c r="D32" s="3">
        <v>2.5000052629999998</v>
      </c>
      <c r="E32" s="2">
        <v>1</v>
      </c>
    </row>
    <row r="33" spans="1:5">
      <c r="A33" s="4">
        <v>0</v>
      </c>
      <c r="B33" s="4">
        <v>4</v>
      </c>
      <c r="C33" s="4">
        <v>4</v>
      </c>
      <c r="D33" s="3">
        <v>2.986857895</v>
      </c>
      <c r="E33" s="2">
        <v>1</v>
      </c>
    </row>
    <row r="34" spans="1:5">
      <c r="A34" s="4">
        <v>0</v>
      </c>
      <c r="B34" s="4">
        <v>4</v>
      </c>
      <c r="C34" s="4">
        <v>5</v>
      </c>
      <c r="D34" s="3">
        <v>2.1052421049999999</v>
      </c>
      <c r="E34" s="2">
        <v>1</v>
      </c>
    </row>
    <row r="35" spans="1:5">
      <c r="A35" s="4">
        <v>0</v>
      </c>
      <c r="B35" s="4">
        <v>4</v>
      </c>
      <c r="C35" s="4">
        <v>6</v>
      </c>
      <c r="D35" s="3">
        <v>2.1052736840000001</v>
      </c>
      <c r="E35" s="2">
        <v>1</v>
      </c>
    </row>
    <row r="36" spans="1:5">
      <c r="A36" s="4">
        <v>0</v>
      </c>
      <c r="B36" s="4">
        <v>4</v>
      </c>
      <c r="C36" s="4">
        <v>7</v>
      </c>
      <c r="D36" s="3">
        <v>2.3421421050000002</v>
      </c>
      <c r="E36" s="2">
        <v>1</v>
      </c>
    </row>
    <row r="37" spans="1:5">
      <c r="A37" s="4">
        <v>0</v>
      </c>
      <c r="B37" s="4">
        <v>5</v>
      </c>
      <c r="C37" s="4">
        <v>1</v>
      </c>
      <c r="D37" s="3">
        <v>0.69738421100000003</v>
      </c>
      <c r="E37" s="2">
        <v>1</v>
      </c>
    </row>
    <row r="38" spans="1:5">
      <c r="A38" s="4">
        <v>0</v>
      </c>
      <c r="B38" s="4">
        <v>5</v>
      </c>
      <c r="C38" s="4">
        <v>2</v>
      </c>
      <c r="D38" s="3">
        <v>2.0657999999999999</v>
      </c>
      <c r="E38" s="2">
        <v>1</v>
      </c>
    </row>
    <row r="39" spans="1:5">
      <c r="A39" s="4">
        <v>0</v>
      </c>
      <c r="B39" s="4">
        <v>5</v>
      </c>
      <c r="C39" s="4">
        <v>3</v>
      </c>
      <c r="D39" s="3">
        <v>1.3815789469999999</v>
      </c>
      <c r="E39" s="2">
        <v>1</v>
      </c>
    </row>
    <row r="40" spans="1:5">
      <c r="A40" s="4">
        <v>0</v>
      </c>
      <c r="B40" s="4">
        <v>5</v>
      </c>
      <c r="C40" s="4">
        <v>4</v>
      </c>
      <c r="D40" s="3">
        <v>2.0921315790000001</v>
      </c>
      <c r="E40" s="2">
        <v>1</v>
      </c>
    </row>
    <row r="41" spans="1:5">
      <c r="A41" s="4">
        <v>0</v>
      </c>
      <c r="B41" s="4">
        <v>5</v>
      </c>
      <c r="C41" s="4">
        <v>5</v>
      </c>
      <c r="D41" s="3">
        <v>1.4078842110000001</v>
      </c>
      <c r="E41" s="2">
        <v>1</v>
      </c>
    </row>
    <row r="42" spans="1:5">
      <c r="A42" s="4">
        <v>0</v>
      </c>
      <c r="B42" s="4">
        <v>5</v>
      </c>
      <c r="C42" s="4">
        <v>6</v>
      </c>
      <c r="D42" s="3">
        <v>0.99997894700000001</v>
      </c>
      <c r="E42" s="2">
        <v>1</v>
      </c>
    </row>
    <row r="43" spans="1:5">
      <c r="A43" s="4">
        <v>0</v>
      </c>
      <c r="B43" s="4">
        <v>5</v>
      </c>
      <c r="C43" s="4">
        <v>7</v>
      </c>
      <c r="D43" s="3">
        <v>1.1447368419999999</v>
      </c>
      <c r="E43" s="2">
        <v>1</v>
      </c>
    </row>
    <row r="44" spans="1:5">
      <c r="A44" s="4">
        <v>0</v>
      </c>
      <c r="B44" s="4">
        <v>6</v>
      </c>
      <c r="C44" s="4">
        <v>1</v>
      </c>
      <c r="D44" s="3">
        <v>2.6447368419999999</v>
      </c>
      <c r="E44" s="2">
        <v>1</v>
      </c>
    </row>
    <row r="45" spans="1:5">
      <c r="A45" s="4">
        <v>0</v>
      </c>
      <c r="B45" s="4">
        <v>6</v>
      </c>
      <c r="C45" s="4">
        <v>2</v>
      </c>
      <c r="D45" s="3">
        <v>1.394773684</v>
      </c>
      <c r="E45" s="2">
        <v>1</v>
      </c>
    </row>
    <row r="46" spans="1:5">
      <c r="A46" s="4">
        <v>0</v>
      </c>
      <c r="B46" s="4">
        <v>6</v>
      </c>
      <c r="C46" s="4">
        <v>3</v>
      </c>
      <c r="D46" s="3">
        <v>2.1710526319999999</v>
      </c>
      <c r="E46" s="2">
        <v>1</v>
      </c>
    </row>
    <row r="47" spans="1:5">
      <c r="A47" s="4">
        <v>0</v>
      </c>
      <c r="B47" s="4">
        <v>6</v>
      </c>
      <c r="C47" s="4">
        <v>4</v>
      </c>
      <c r="D47" s="3">
        <v>1.3289684209999999</v>
      </c>
      <c r="E47" s="2">
        <v>1</v>
      </c>
    </row>
    <row r="48" spans="1:5">
      <c r="A48" s="4">
        <v>0</v>
      </c>
      <c r="B48" s="4">
        <v>6</v>
      </c>
      <c r="C48" s="4">
        <v>5</v>
      </c>
      <c r="D48" s="3">
        <v>1.1447105259999999</v>
      </c>
      <c r="E48" s="2">
        <v>1</v>
      </c>
    </row>
    <row r="49" spans="1:5">
      <c r="A49" s="4">
        <v>0</v>
      </c>
      <c r="B49" s="4">
        <v>6</v>
      </c>
      <c r="C49" s="4">
        <v>6</v>
      </c>
      <c r="D49" s="3">
        <v>0.539463158</v>
      </c>
      <c r="E49" s="2">
        <v>1</v>
      </c>
    </row>
    <row r="50" spans="1:5">
      <c r="A50" s="4">
        <v>0</v>
      </c>
      <c r="B50" s="4">
        <v>6</v>
      </c>
      <c r="C50" s="4">
        <v>7</v>
      </c>
      <c r="D50" s="3">
        <v>2.5921210530000001</v>
      </c>
      <c r="E50" s="2">
        <v>1</v>
      </c>
    </row>
    <row r="51" spans="1:5">
      <c r="A51" s="4">
        <v>1</v>
      </c>
      <c r="B51" s="4">
        <v>1</v>
      </c>
      <c r="C51" s="4">
        <v>1</v>
      </c>
      <c r="D51" s="3">
        <v>1.4605263159999999</v>
      </c>
      <c r="E51" s="2">
        <v>1</v>
      </c>
    </row>
    <row r="52" spans="1:5">
      <c r="A52" s="4">
        <v>1</v>
      </c>
      <c r="B52" s="4">
        <v>1</v>
      </c>
      <c r="C52" s="4">
        <v>2</v>
      </c>
      <c r="D52" s="3">
        <v>3.5921052630000001</v>
      </c>
      <c r="E52" s="2">
        <v>1</v>
      </c>
    </row>
    <row r="53" spans="1:5">
      <c r="A53" s="4">
        <v>1</v>
      </c>
      <c r="B53" s="4">
        <v>1</v>
      </c>
      <c r="C53" s="4">
        <v>3</v>
      </c>
      <c r="D53" s="3">
        <v>2.5658157890000002</v>
      </c>
      <c r="E53" s="2">
        <v>1</v>
      </c>
    </row>
    <row r="54" spans="1:5">
      <c r="A54" s="4">
        <v>1</v>
      </c>
      <c r="B54" s="4">
        <v>1</v>
      </c>
      <c r="C54" s="4">
        <v>4</v>
      </c>
      <c r="D54" s="3">
        <v>1.8026473679999999</v>
      </c>
      <c r="E54" s="2">
        <v>1</v>
      </c>
    </row>
    <row r="55" spans="1:5">
      <c r="A55" s="4">
        <v>1</v>
      </c>
      <c r="B55" s="4">
        <v>1</v>
      </c>
      <c r="C55" s="4">
        <v>5</v>
      </c>
      <c r="D55" s="3">
        <v>1.7237</v>
      </c>
      <c r="E55" s="2">
        <v>1</v>
      </c>
    </row>
    <row r="56" spans="1:5">
      <c r="A56" s="4">
        <v>1</v>
      </c>
      <c r="B56" s="4">
        <v>1</v>
      </c>
      <c r="C56" s="4">
        <v>6</v>
      </c>
      <c r="D56" s="3">
        <v>2.3840071280314956</v>
      </c>
      <c r="E56" s="2">
        <v>1</v>
      </c>
    </row>
    <row r="57" spans="1:5">
      <c r="A57" s="4">
        <v>1</v>
      </c>
      <c r="B57" s="4">
        <v>1</v>
      </c>
      <c r="C57" s="4">
        <v>7</v>
      </c>
      <c r="D57" s="3">
        <v>2.3840071280314956</v>
      </c>
      <c r="E57" s="2">
        <v>1</v>
      </c>
    </row>
    <row r="58" spans="1:5">
      <c r="A58" s="4">
        <v>1</v>
      </c>
      <c r="B58" s="4">
        <v>2</v>
      </c>
      <c r="C58" s="4">
        <v>1</v>
      </c>
      <c r="D58" s="3">
        <v>1.0395105259999999</v>
      </c>
      <c r="E58" s="2">
        <v>1</v>
      </c>
    </row>
    <row r="59" spans="1:5">
      <c r="A59" s="4">
        <v>1</v>
      </c>
      <c r="B59" s="4">
        <v>2</v>
      </c>
      <c r="C59" s="4">
        <v>2</v>
      </c>
      <c r="D59" s="3">
        <v>2.0132105259999999</v>
      </c>
      <c r="E59" s="2">
        <v>1</v>
      </c>
    </row>
    <row r="60" spans="1:5">
      <c r="A60" s="4">
        <v>1</v>
      </c>
      <c r="B60" s="4">
        <v>2</v>
      </c>
      <c r="C60" s="4">
        <v>3</v>
      </c>
      <c r="D60" s="3">
        <v>1.8289</v>
      </c>
      <c r="E60" s="2">
        <v>1</v>
      </c>
    </row>
    <row r="61" spans="1:5">
      <c r="A61" s="4">
        <v>1</v>
      </c>
      <c r="B61" s="4">
        <v>2</v>
      </c>
      <c r="C61" s="4">
        <v>4</v>
      </c>
      <c r="D61" s="3">
        <v>2.7236842110000001</v>
      </c>
      <c r="E61" s="2">
        <v>1</v>
      </c>
    </row>
    <row r="62" spans="1:5">
      <c r="A62" s="4">
        <v>1</v>
      </c>
      <c r="B62" s="4">
        <v>2</v>
      </c>
      <c r="C62" s="4">
        <v>5</v>
      </c>
      <c r="D62" s="3">
        <v>3.7763052629999998</v>
      </c>
      <c r="E62" s="2">
        <v>1</v>
      </c>
    </row>
    <row r="63" spans="1:5">
      <c r="A63" s="4">
        <v>1</v>
      </c>
      <c r="B63" s="4">
        <v>2</v>
      </c>
      <c r="C63" s="4">
        <v>6</v>
      </c>
      <c r="D63" s="3">
        <v>1.5</v>
      </c>
      <c r="E63" s="2">
        <v>1</v>
      </c>
    </row>
    <row r="64" spans="1:5">
      <c r="A64" s="4">
        <v>1</v>
      </c>
      <c r="B64" s="4">
        <v>2</v>
      </c>
      <c r="C64" s="4">
        <v>7</v>
      </c>
      <c r="D64" s="3">
        <v>2.355252632</v>
      </c>
      <c r="E64" s="2">
        <v>1</v>
      </c>
    </row>
    <row r="65" spans="1:5">
      <c r="A65" s="4">
        <v>1</v>
      </c>
      <c r="B65" s="4">
        <v>3</v>
      </c>
      <c r="C65" s="4">
        <v>1</v>
      </c>
      <c r="D65" s="3">
        <v>2.8947421050000002</v>
      </c>
      <c r="E65" s="2">
        <v>1</v>
      </c>
    </row>
    <row r="66" spans="1:5">
      <c r="A66" s="4">
        <v>1</v>
      </c>
      <c r="B66" s="4">
        <v>3</v>
      </c>
      <c r="C66" s="4">
        <v>2</v>
      </c>
      <c r="D66" s="3">
        <v>1.3815473680000001</v>
      </c>
      <c r="E66" s="2">
        <v>1</v>
      </c>
    </row>
    <row r="67" spans="1:5">
      <c r="A67" s="4">
        <v>1</v>
      </c>
      <c r="B67" s="4">
        <v>3</v>
      </c>
      <c r="C67" s="4">
        <v>3</v>
      </c>
      <c r="D67" s="3">
        <v>1.065815789</v>
      </c>
      <c r="E67" s="2">
        <v>1</v>
      </c>
    </row>
    <row r="68" spans="1:5">
      <c r="A68" s="4">
        <v>1</v>
      </c>
      <c r="B68" s="4">
        <v>3</v>
      </c>
      <c r="C68" s="4">
        <v>4</v>
      </c>
      <c r="D68" s="3">
        <v>1.1578736839999999</v>
      </c>
      <c r="E68" s="2">
        <v>1</v>
      </c>
    </row>
    <row r="69" spans="1:5">
      <c r="A69" s="4">
        <v>1</v>
      </c>
      <c r="B69" s="4">
        <v>3</v>
      </c>
      <c r="C69" s="4">
        <v>5</v>
      </c>
      <c r="D69" s="3">
        <v>3.3026473680000001</v>
      </c>
      <c r="E69" s="2">
        <v>1</v>
      </c>
    </row>
    <row r="70" spans="1:5">
      <c r="A70" s="4">
        <v>1</v>
      </c>
      <c r="B70" s="4">
        <v>3</v>
      </c>
      <c r="C70" s="4">
        <v>6</v>
      </c>
      <c r="D70" s="3">
        <v>2.7236526319999999</v>
      </c>
      <c r="E70" s="2">
        <v>1</v>
      </c>
    </row>
    <row r="71" spans="1:5">
      <c r="A71" s="4">
        <v>1</v>
      </c>
      <c r="B71" s="4">
        <v>3</v>
      </c>
      <c r="C71" s="4">
        <v>7</v>
      </c>
      <c r="D71" s="3">
        <v>2.3947842110000002</v>
      </c>
      <c r="E71" s="2">
        <v>1</v>
      </c>
    </row>
    <row r="72" spans="1:5">
      <c r="A72" s="4">
        <v>1</v>
      </c>
      <c r="B72" s="4">
        <v>4</v>
      </c>
      <c r="C72" s="4">
        <v>1</v>
      </c>
      <c r="D72" s="3">
        <v>2.3157789470000001</v>
      </c>
      <c r="E72" s="2">
        <v>1</v>
      </c>
    </row>
    <row r="73" spans="1:5">
      <c r="A73" s="4">
        <v>1</v>
      </c>
      <c r="B73" s="4">
        <v>4</v>
      </c>
      <c r="C73" s="4">
        <v>2</v>
      </c>
      <c r="D73" s="3">
        <v>3.6184105259999999</v>
      </c>
      <c r="E73" s="2">
        <v>1</v>
      </c>
    </row>
    <row r="74" spans="1:5">
      <c r="A74" s="4">
        <v>1</v>
      </c>
      <c r="B74" s="4">
        <v>4</v>
      </c>
      <c r="C74" s="4">
        <v>3</v>
      </c>
      <c r="D74" s="3">
        <v>1.934236842</v>
      </c>
      <c r="E74" s="2">
        <v>1</v>
      </c>
    </row>
    <row r="75" spans="1:5">
      <c r="A75" s="4">
        <v>1</v>
      </c>
      <c r="B75" s="4">
        <v>4</v>
      </c>
      <c r="C75" s="4">
        <v>4</v>
      </c>
      <c r="D75" s="3">
        <v>1.407910526</v>
      </c>
      <c r="E75" s="2">
        <v>1</v>
      </c>
    </row>
    <row r="76" spans="1:5">
      <c r="A76" s="4">
        <v>1</v>
      </c>
      <c r="B76" s="4">
        <v>4</v>
      </c>
      <c r="C76" s="4">
        <v>5</v>
      </c>
      <c r="D76" s="3">
        <v>1.2237105260000001</v>
      </c>
      <c r="E76" s="2">
        <v>1</v>
      </c>
    </row>
    <row r="77" spans="1:5">
      <c r="A77" s="4">
        <v>1</v>
      </c>
      <c r="B77" s="4">
        <v>4</v>
      </c>
      <c r="C77" s="4">
        <v>6</v>
      </c>
      <c r="D77" s="3">
        <v>1.736842105</v>
      </c>
      <c r="E77" s="2">
        <v>1</v>
      </c>
    </row>
    <row r="78" spans="1:5">
      <c r="A78" s="4">
        <v>1</v>
      </c>
      <c r="B78" s="4">
        <v>4</v>
      </c>
      <c r="C78" s="4">
        <v>7</v>
      </c>
      <c r="D78" s="3">
        <v>2.763157895</v>
      </c>
      <c r="E78" s="2">
        <v>1</v>
      </c>
    </row>
    <row r="79" spans="1:5">
      <c r="A79" s="4">
        <v>1</v>
      </c>
      <c r="B79" s="4">
        <v>5</v>
      </c>
      <c r="C79" s="4">
        <v>1</v>
      </c>
      <c r="D79" s="3">
        <v>1.960542105</v>
      </c>
      <c r="E79" s="2">
        <v>1</v>
      </c>
    </row>
    <row r="80" spans="1:5">
      <c r="A80" s="4">
        <v>1</v>
      </c>
      <c r="B80" s="4">
        <v>5</v>
      </c>
      <c r="C80" s="4">
        <v>2</v>
      </c>
      <c r="D80" s="3">
        <v>3.3421526319999999</v>
      </c>
      <c r="E80" s="2">
        <v>1</v>
      </c>
    </row>
    <row r="81" spans="1:5">
      <c r="A81" s="4">
        <v>1</v>
      </c>
      <c r="B81" s="4">
        <v>5</v>
      </c>
      <c r="C81" s="4">
        <v>3</v>
      </c>
      <c r="D81" s="3">
        <v>1.5788894739999999</v>
      </c>
      <c r="E81" s="2">
        <v>1</v>
      </c>
    </row>
    <row r="82" spans="1:5">
      <c r="A82" s="4">
        <v>1</v>
      </c>
      <c r="B82" s="4">
        <v>5</v>
      </c>
      <c r="C82" s="4">
        <v>4</v>
      </c>
      <c r="D82" s="3">
        <v>3.2763157889999999</v>
      </c>
      <c r="E82" s="2">
        <v>1</v>
      </c>
    </row>
    <row r="83" spans="1:5">
      <c r="A83" s="4">
        <v>1</v>
      </c>
      <c r="B83" s="4">
        <v>5</v>
      </c>
      <c r="C83" s="4">
        <v>5</v>
      </c>
      <c r="D83" s="3">
        <v>1.065789474</v>
      </c>
      <c r="E83" s="2">
        <v>1</v>
      </c>
    </row>
    <row r="84" spans="1:5">
      <c r="A84" s="4">
        <v>1</v>
      </c>
      <c r="B84" s="4">
        <v>5</v>
      </c>
      <c r="C84" s="4">
        <v>6</v>
      </c>
      <c r="D84" s="3">
        <v>1.710536842</v>
      </c>
      <c r="E84" s="2">
        <v>1</v>
      </c>
    </row>
    <row r="85" spans="1:5">
      <c r="A85" s="4">
        <v>1</v>
      </c>
      <c r="B85" s="4">
        <v>5</v>
      </c>
      <c r="C85" s="4">
        <v>7</v>
      </c>
      <c r="D85" s="3">
        <v>2.250026316</v>
      </c>
      <c r="E85" s="2">
        <v>1</v>
      </c>
    </row>
    <row r="86" spans="1:5">
      <c r="A86" s="4">
        <v>1</v>
      </c>
      <c r="B86" s="4">
        <v>6</v>
      </c>
      <c r="C86" s="4">
        <v>1</v>
      </c>
      <c r="D86" s="3">
        <v>0.815805263</v>
      </c>
      <c r="E86" s="2">
        <v>1</v>
      </c>
    </row>
    <row r="87" spans="1:5">
      <c r="A87" s="4">
        <v>1</v>
      </c>
      <c r="B87" s="4">
        <v>6</v>
      </c>
      <c r="C87" s="4">
        <v>2</v>
      </c>
      <c r="D87" s="3">
        <v>3.4868473679999998</v>
      </c>
      <c r="E87" s="2">
        <v>1</v>
      </c>
    </row>
    <row r="88" spans="1:5">
      <c r="A88" s="4">
        <v>1</v>
      </c>
      <c r="B88" s="4">
        <v>6</v>
      </c>
      <c r="C88" s="4">
        <v>3</v>
      </c>
      <c r="D88" s="3">
        <v>2.578926316</v>
      </c>
      <c r="E88" s="2">
        <v>1</v>
      </c>
    </row>
    <row r="89" spans="1:5">
      <c r="A89" s="4">
        <v>1</v>
      </c>
      <c r="B89" s="4">
        <v>6</v>
      </c>
      <c r="C89" s="4">
        <v>4</v>
      </c>
      <c r="D89" s="3">
        <v>3.750026316</v>
      </c>
      <c r="E89" s="2">
        <v>1</v>
      </c>
    </row>
    <row r="90" spans="1:5">
      <c r="A90" s="4">
        <v>1</v>
      </c>
      <c r="B90" s="4">
        <v>6</v>
      </c>
      <c r="C90" s="4">
        <v>5</v>
      </c>
      <c r="D90" s="3">
        <v>1.8421210530000001</v>
      </c>
      <c r="E90" s="2">
        <v>1</v>
      </c>
    </row>
    <row r="91" spans="1:5">
      <c r="A91" s="4">
        <v>1</v>
      </c>
      <c r="B91" s="4">
        <v>6</v>
      </c>
      <c r="C91" s="4">
        <v>6</v>
      </c>
      <c r="D91" s="3">
        <v>2.7894894739999998</v>
      </c>
      <c r="E91" s="2">
        <v>1</v>
      </c>
    </row>
    <row r="92" spans="1:5">
      <c r="A92" s="4">
        <v>1</v>
      </c>
      <c r="B92" s="4">
        <v>6</v>
      </c>
      <c r="C92" s="4">
        <v>7</v>
      </c>
      <c r="D92" s="3">
        <v>2.1315789469999999</v>
      </c>
      <c r="E92" s="2">
        <v>1</v>
      </c>
    </row>
    <row r="93" spans="1:5">
      <c r="A93" s="4">
        <v>2</v>
      </c>
      <c r="B93" s="4">
        <v>1</v>
      </c>
      <c r="C93" s="4">
        <v>1</v>
      </c>
      <c r="D93" s="3">
        <v>1.842094737</v>
      </c>
      <c r="E93" s="2">
        <v>1</v>
      </c>
    </row>
    <row r="94" spans="1:5">
      <c r="A94" s="4">
        <v>2</v>
      </c>
      <c r="B94" s="4">
        <v>1</v>
      </c>
      <c r="C94" s="4">
        <v>2</v>
      </c>
      <c r="D94" s="3">
        <v>5.6842368419999998</v>
      </c>
      <c r="E94" s="2">
        <v>1</v>
      </c>
    </row>
    <row r="95" spans="1:5">
      <c r="A95" s="4">
        <v>2</v>
      </c>
      <c r="B95" s="4">
        <v>1</v>
      </c>
      <c r="C95" s="4">
        <v>3</v>
      </c>
      <c r="D95" s="3">
        <v>1.8421210530000001</v>
      </c>
      <c r="E95" s="2">
        <v>1</v>
      </c>
    </row>
    <row r="96" spans="1:5">
      <c r="A96" s="4">
        <v>2</v>
      </c>
      <c r="B96" s="4">
        <v>1</v>
      </c>
      <c r="C96" s="4">
        <v>4</v>
      </c>
      <c r="D96" s="3">
        <v>1.9211</v>
      </c>
      <c r="E96" s="2">
        <v>1</v>
      </c>
    </row>
    <row r="97" spans="1:5">
      <c r="A97" s="4">
        <v>2</v>
      </c>
      <c r="B97" s="4">
        <v>1</v>
      </c>
      <c r="C97" s="4">
        <v>5</v>
      </c>
      <c r="D97" s="3">
        <v>1.697368421</v>
      </c>
      <c r="E97" s="2">
        <v>1</v>
      </c>
    </row>
    <row r="98" spans="1:5">
      <c r="A98" s="4">
        <v>2</v>
      </c>
      <c r="B98" s="4">
        <v>2</v>
      </c>
      <c r="C98" s="4">
        <v>1</v>
      </c>
      <c r="D98" s="3">
        <v>1.8352632000000001E-2</v>
      </c>
      <c r="E98" s="2">
        <v>1</v>
      </c>
    </row>
    <row r="99" spans="1:5">
      <c r="A99" s="4">
        <v>2</v>
      </c>
      <c r="B99" s="4">
        <v>2</v>
      </c>
      <c r="C99" s="4">
        <v>2</v>
      </c>
      <c r="D99" s="3">
        <v>1.5789157890000001</v>
      </c>
      <c r="E99" s="2">
        <v>1</v>
      </c>
    </row>
    <row r="100" spans="1:5">
      <c r="A100" s="4">
        <v>2</v>
      </c>
      <c r="B100" s="4">
        <v>2</v>
      </c>
      <c r="C100" s="4">
        <v>3</v>
      </c>
      <c r="D100" s="3">
        <v>1.5394736840000001</v>
      </c>
      <c r="E100" s="2">
        <v>1</v>
      </c>
    </row>
    <row r="101" spans="1:5">
      <c r="A101" s="4">
        <v>2</v>
      </c>
      <c r="B101" s="4">
        <v>2</v>
      </c>
      <c r="C101" s="4">
        <v>4</v>
      </c>
      <c r="D101" s="3">
        <v>2.6447368419999999</v>
      </c>
      <c r="E101" s="2">
        <v>1</v>
      </c>
    </row>
    <row r="102" spans="1:5">
      <c r="A102" s="4">
        <v>2</v>
      </c>
      <c r="B102" s="4">
        <v>2</v>
      </c>
      <c r="C102" s="4">
        <v>5</v>
      </c>
      <c r="D102" s="3">
        <v>0.98678421100000002</v>
      </c>
      <c r="E102" s="2">
        <v>1</v>
      </c>
    </row>
    <row r="103" spans="1:5">
      <c r="A103" s="4">
        <v>2</v>
      </c>
      <c r="B103" s="4">
        <v>2</v>
      </c>
      <c r="C103" s="4">
        <v>6</v>
      </c>
      <c r="D103" s="3">
        <v>2.8552684209999999</v>
      </c>
      <c r="E103" s="2">
        <v>1</v>
      </c>
    </row>
    <row r="104" spans="1:5">
      <c r="A104" s="4">
        <v>2</v>
      </c>
      <c r="B104" s="4">
        <v>2</v>
      </c>
      <c r="C104" s="4">
        <v>7</v>
      </c>
      <c r="D104" s="3">
        <v>2.0921315790000001</v>
      </c>
      <c r="E104" s="2">
        <v>1</v>
      </c>
    </row>
    <row r="105" spans="1:5">
      <c r="A105" s="4">
        <v>2</v>
      </c>
      <c r="B105" s="4">
        <v>3</v>
      </c>
      <c r="C105" s="4">
        <v>1</v>
      </c>
      <c r="D105" s="3">
        <v>2.2763315789999998</v>
      </c>
      <c r="E105" s="2">
        <v>1</v>
      </c>
    </row>
    <row r="106" spans="1:5">
      <c r="A106" s="4">
        <v>2</v>
      </c>
      <c r="B106" s="4">
        <v>3</v>
      </c>
      <c r="C106" s="4">
        <v>2</v>
      </c>
      <c r="D106" s="3">
        <v>2.1710526319999999</v>
      </c>
      <c r="E106" s="2">
        <v>1</v>
      </c>
    </row>
    <row r="107" spans="1:5">
      <c r="A107" s="4">
        <v>2</v>
      </c>
      <c r="B107" s="4">
        <v>3</v>
      </c>
      <c r="C107" s="4">
        <v>3</v>
      </c>
      <c r="D107" s="3">
        <v>3.9473684210000002</v>
      </c>
      <c r="E107" s="2">
        <v>1</v>
      </c>
    </row>
    <row r="108" spans="1:5">
      <c r="A108" s="4">
        <v>2</v>
      </c>
      <c r="B108" s="4">
        <v>3</v>
      </c>
      <c r="C108" s="4">
        <v>4</v>
      </c>
      <c r="D108" s="3">
        <v>1.6315894740000001</v>
      </c>
      <c r="E108" s="2">
        <v>1</v>
      </c>
    </row>
    <row r="109" spans="1:5">
      <c r="A109" s="4">
        <v>2</v>
      </c>
      <c r="B109" s="4">
        <v>3</v>
      </c>
      <c r="C109" s="4">
        <v>5</v>
      </c>
      <c r="D109" s="3">
        <v>1.8947368419999999</v>
      </c>
      <c r="E109" s="2">
        <v>1</v>
      </c>
    </row>
    <row r="110" spans="1:5">
      <c r="A110" s="4">
        <v>2</v>
      </c>
      <c r="B110" s="4">
        <v>3</v>
      </c>
      <c r="C110" s="4">
        <v>6</v>
      </c>
      <c r="D110" s="3">
        <v>1.3684368419999999</v>
      </c>
      <c r="E110" s="2">
        <v>1</v>
      </c>
    </row>
    <row r="111" spans="1:5">
      <c r="A111" s="4">
        <v>2</v>
      </c>
      <c r="B111" s="4">
        <v>3</v>
      </c>
      <c r="C111" s="4">
        <v>7</v>
      </c>
      <c r="D111" s="3">
        <v>1.986852632</v>
      </c>
      <c r="E111" s="2">
        <v>1</v>
      </c>
    </row>
    <row r="112" spans="1:5">
      <c r="A112" s="4">
        <v>2</v>
      </c>
      <c r="B112" s="4">
        <v>4</v>
      </c>
      <c r="C112" s="4">
        <v>1</v>
      </c>
      <c r="D112" s="3">
        <v>3.789442105</v>
      </c>
      <c r="E112" s="2">
        <v>1</v>
      </c>
    </row>
    <row r="113" spans="1:5">
      <c r="A113" s="4">
        <v>2</v>
      </c>
      <c r="B113" s="4">
        <v>4</v>
      </c>
      <c r="C113" s="4">
        <v>2</v>
      </c>
      <c r="D113" s="3">
        <v>1.2368210529999999</v>
      </c>
      <c r="E113" s="2">
        <v>1</v>
      </c>
    </row>
    <row r="114" spans="1:5">
      <c r="A114" s="4">
        <v>2</v>
      </c>
      <c r="B114" s="4">
        <v>4</v>
      </c>
      <c r="C114" s="4">
        <v>3</v>
      </c>
      <c r="D114" s="3">
        <v>2.342084211</v>
      </c>
      <c r="E114" s="2">
        <v>1</v>
      </c>
    </row>
    <row r="115" spans="1:5">
      <c r="A115" s="4">
        <v>2</v>
      </c>
      <c r="B115" s="4">
        <v>4</v>
      </c>
      <c r="C115" s="4">
        <v>4</v>
      </c>
      <c r="D115" s="3">
        <v>2.6315947369999999</v>
      </c>
      <c r="E115" s="2">
        <v>1</v>
      </c>
    </row>
    <row r="116" spans="1:5">
      <c r="A116" s="4">
        <v>2</v>
      </c>
      <c r="B116" s="4">
        <v>4</v>
      </c>
      <c r="C116" s="4">
        <v>5</v>
      </c>
      <c r="D116" s="3">
        <v>3.2894789470000001</v>
      </c>
      <c r="E116" s="2">
        <v>1</v>
      </c>
    </row>
    <row r="117" spans="1:5">
      <c r="A117" s="4">
        <v>2</v>
      </c>
      <c r="B117" s="4">
        <v>4</v>
      </c>
      <c r="C117" s="4">
        <v>6</v>
      </c>
      <c r="D117" s="3">
        <v>2.0526315789999998</v>
      </c>
      <c r="E117" s="2">
        <v>1</v>
      </c>
    </row>
    <row r="118" spans="1:5">
      <c r="A118" s="4">
        <v>2</v>
      </c>
      <c r="B118" s="4">
        <v>4</v>
      </c>
      <c r="C118" s="4">
        <v>7</v>
      </c>
      <c r="D118" s="3">
        <v>2.578952632</v>
      </c>
      <c r="E118" s="2">
        <v>1</v>
      </c>
    </row>
    <row r="119" spans="1:5">
      <c r="A119" s="4">
        <v>2</v>
      </c>
      <c r="B119" s="4">
        <v>5</v>
      </c>
      <c r="C119" s="4">
        <v>1</v>
      </c>
      <c r="D119" s="3">
        <v>1.5658052629999999</v>
      </c>
      <c r="E119" s="2">
        <v>1</v>
      </c>
    </row>
    <row r="120" spans="1:5">
      <c r="A120" s="4">
        <v>2</v>
      </c>
      <c r="B120" s="4">
        <v>5</v>
      </c>
      <c r="C120" s="4">
        <v>2</v>
      </c>
      <c r="D120" s="3">
        <v>2.881605263</v>
      </c>
      <c r="E120" s="2">
        <v>1</v>
      </c>
    </row>
    <row r="121" spans="1:5">
      <c r="A121" s="4">
        <v>2</v>
      </c>
      <c r="B121" s="4">
        <v>5</v>
      </c>
      <c r="C121" s="4">
        <v>3</v>
      </c>
      <c r="D121" s="3">
        <v>2.934215789</v>
      </c>
      <c r="E121" s="2">
        <v>1</v>
      </c>
    </row>
    <row r="122" spans="1:5">
      <c r="A122" s="4">
        <v>2</v>
      </c>
      <c r="B122" s="4">
        <v>5</v>
      </c>
      <c r="C122" s="4">
        <v>4</v>
      </c>
      <c r="D122" s="3">
        <v>3.3815684209999999</v>
      </c>
      <c r="E122" s="2">
        <v>1</v>
      </c>
    </row>
    <row r="123" spans="1:5">
      <c r="A123" s="4">
        <v>2</v>
      </c>
      <c r="B123" s="4">
        <v>5</v>
      </c>
      <c r="C123" s="4">
        <v>5</v>
      </c>
      <c r="D123" s="3">
        <v>1.7632052629999999</v>
      </c>
      <c r="E123" s="2">
        <v>1</v>
      </c>
    </row>
    <row r="124" spans="1:5">
      <c r="A124" s="4">
        <v>2</v>
      </c>
      <c r="B124" s="4">
        <v>5</v>
      </c>
      <c r="C124" s="4">
        <v>6</v>
      </c>
      <c r="D124" s="3">
        <v>3.1316421050000001</v>
      </c>
      <c r="E124" s="2">
        <v>1</v>
      </c>
    </row>
    <row r="125" spans="1:5">
      <c r="A125" s="4">
        <v>2</v>
      </c>
      <c r="B125" s="4">
        <v>5</v>
      </c>
      <c r="C125" s="4">
        <v>7</v>
      </c>
      <c r="D125" s="3">
        <v>2.171021053</v>
      </c>
      <c r="E125" s="2">
        <v>1</v>
      </c>
    </row>
    <row r="126" spans="1:5">
      <c r="A126" s="4">
        <v>2</v>
      </c>
      <c r="B126" s="4">
        <v>6</v>
      </c>
      <c r="C126" s="4">
        <v>1</v>
      </c>
      <c r="D126" s="3">
        <v>1.7763421049999999</v>
      </c>
      <c r="E126" s="2">
        <v>1</v>
      </c>
    </row>
    <row r="127" spans="1:5">
      <c r="A127" s="4">
        <v>2</v>
      </c>
      <c r="B127" s="4">
        <v>6</v>
      </c>
      <c r="C127" s="4">
        <v>2</v>
      </c>
      <c r="D127" s="3">
        <v>3.8158052630000001</v>
      </c>
      <c r="E127" s="2">
        <v>1</v>
      </c>
    </row>
    <row r="128" spans="1:5">
      <c r="A128" s="4">
        <v>2</v>
      </c>
      <c r="B128" s="4">
        <v>6</v>
      </c>
      <c r="C128" s="4">
        <v>3</v>
      </c>
      <c r="D128" s="3">
        <v>2.0262947370000002</v>
      </c>
      <c r="E128" s="2">
        <v>1</v>
      </c>
    </row>
    <row r="129" spans="1:5">
      <c r="A129" s="4">
        <v>2</v>
      </c>
      <c r="B129" s="4">
        <v>6</v>
      </c>
      <c r="C129" s="4">
        <v>4</v>
      </c>
      <c r="D129" s="3">
        <v>3.7631368420000002</v>
      </c>
      <c r="E129" s="2">
        <v>1</v>
      </c>
    </row>
    <row r="130" spans="1:5">
      <c r="A130" s="4">
        <v>2</v>
      </c>
      <c r="B130" s="4">
        <v>6</v>
      </c>
      <c r="C130" s="4">
        <v>5</v>
      </c>
      <c r="D130" s="3">
        <v>4.7368684209999996</v>
      </c>
      <c r="E130" s="2">
        <v>1</v>
      </c>
    </row>
    <row r="131" spans="1:5">
      <c r="A131" s="4">
        <v>2</v>
      </c>
      <c r="B131" s="4">
        <v>6</v>
      </c>
      <c r="C131" s="4">
        <v>6</v>
      </c>
      <c r="D131" s="3">
        <v>1.2236842109999999</v>
      </c>
      <c r="E131" s="2">
        <v>1</v>
      </c>
    </row>
    <row r="132" spans="1:5">
      <c r="A132" s="4">
        <v>2</v>
      </c>
      <c r="B132" s="4">
        <v>6</v>
      </c>
      <c r="C132" s="4">
        <v>7</v>
      </c>
      <c r="D132" s="3">
        <v>2.026326316</v>
      </c>
      <c r="E132" s="2">
        <v>1</v>
      </c>
    </row>
    <row r="133" spans="1:5">
      <c r="A133" s="4">
        <v>3</v>
      </c>
      <c r="B133" s="4">
        <v>1</v>
      </c>
      <c r="C133" s="4">
        <v>1</v>
      </c>
      <c r="D133" s="3">
        <v>4.4209999999999999E-2</v>
      </c>
      <c r="E133" s="2">
        <v>2</v>
      </c>
    </row>
    <row r="134" spans="1:5">
      <c r="A134" s="4">
        <v>3</v>
      </c>
      <c r="B134" s="4">
        <v>1</v>
      </c>
      <c r="C134" s="4">
        <v>2</v>
      </c>
      <c r="D134" s="3">
        <v>1.737E-2</v>
      </c>
      <c r="E134" s="2">
        <v>2</v>
      </c>
    </row>
    <row r="135" spans="1:5">
      <c r="A135" s="4">
        <v>3</v>
      </c>
      <c r="B135" s="4">
        <v>1</v>
      </c>
      <c r="C135" s="4">
        <v>3</v>
      </c>
      <c r="D135" s="3">
        <v>3.4340000000000002E-2</v>
      </c>
      <c r="E135" s="2">
        <v>2</v>
      </c>
    </row>
    <row r="136" spans="1:5">
      <c r="A136" s="4">
        <v>3</v>
      </c>
      <c r="B136" s="4">
        <v>2</v>
      </c>
      <c r="C136" s="4">
        <v>1</v>
      </c>
      <c r="D136" s="3">
        <v>5.1839999999999997E-2</v>
      </c>
      <c r="E136" s="2">
        <v>2</v>
      </c>
    </row>
    <row r="137" spans="1:5">
      <c r="A137" s="4">
        <v>3</v>
      </c>
      <c r="B137" s="4">
        <v>2</v>
      </c>
      <c r="C137" s="4">
        <v>2</v>
      </c>
      <c r="D137" s="3">
        <v>2.6839999999999999E-2</v>
      </c>
      <c r="E137" s="2">
        <v>2</v>
      </c>
    </row>
    <row r="138" spans="1:5">
      <c r="A138" s="4">
        <v>3</v>
      </c>
      <c r="B138" s="4">
        <v>2</v>
      </c>
      <c r="C138" s="4">
        <v>3</v>
      </c>
      <c r="D138" s="3">
        <v>5.9740000000000001E-2</v>
      </c>
      <c r="E138" s="2">
        <v>2</v>
      </c>
    </row>
    <row r="139" spans="1:5">
      <c r="A139" s="4">
        <v>3</v>
      </c>
      <c r="B139" s="4">
        <v>3</v>
      </c>
      <c r="C139" s="4">
        <v>1</v>
      </c>
      <c r="D139" s="3">
        <v>6.1580000000000003E-2</v>
      </c>
      <c r="E139" s="2">
        <v>2</v>
      </c>
    </row>
    <row r="140" spans="1:5">
      <c r="A140" s="4">
        <v>3</v>
      </c>
      <c r="B140" s="4">
        <v>3</v>
      </c>
      <c r="C140" s="4">
        <v>2</v>
      </c>
      <c r="D140" s="3">
        <v>3.2500000000000001E-2</v>
      </c>
      <c r="E140" s="2">
        <v>2</v>
      </c>
    </row>
    <row r="141" spans="1:5">
      <c r="A141" s="4">
        <v>3</v>
      </c>
      <c r="B141" s="4">
        <v>3</v>
      </c>
      <c r="C141" s="4">
        <v>3</v>
      </c>
      <c r="D141" s="3">
        <v>3.5000000000000003E-2</v>
      </c>
      <c r="E141" s="2">
        <v>2</v>
      </c>
    </row>
    <row r="142" spans="1:5">
      <c r="A142" s="4">
        <v>3</v>
      </c>
      <c r="B142" s="4">
        <v>4</v>
      </c>
      <c r="C142" s="4">
        <v>1</v>
      </c>
      <c r="D142" s="3">
        <v>5.3159999999999999E-2</v>
      </c>
      <c r="E142" s="2">
        <v>2</v>
      </c>
    </row>
    <row r="143" spans="1:5">
      <c r="A143" s="4">
        <v>3</v>
      </c>
      <c r="B143" s="4">
        <v>4</v>
      </c>
      <c r="C143" s="4">
        <v>2</v>
      </c>
      <c r="D143" s="3">
        <v>0.12961</v>
      </c>
      <c r="E143" s="2">
        <v>2</v>
      </c>
    </row>
    <row r="144" spans="1:5">
      <c r="A144" s="4">
        <v>3</v>
      </c>
      <c r="B144" s="4">
        <v>4</v>
      </c>
      <c r="C144" s="4">
        <v>3</v>
      </c>
      <c r="D144" s="3">
        <v>9.9339999999999998E-2</v>
      </c>
      <c r="E144" s="2">
        <v>2</v>
      </c>
    </row>
    <row r="145" spans="1:5">
      <c r="A145" s="4">
        <v>3</v>
      </c>
      <c r="B145" s="4">
        <v>5</v>
      </c>
      <c r="C145" s="4">
        <v>1</v>
      </c>
      <c r="D145" s="3">
        <v>7.1000000000000004E-3</v>
      </c>
      <c r="E145" s="2">
        <v>2</v>
      </c>
    </row>
    <row r="146" spans="1:5">
      <c r="A146" s="4">
        <v>3</v>
      </c>
      <c r="B146" s="4">
        <v>5</v>
      </c>
      <c r="C146" s="4">
        <v>2</v>
      </c>
      <c r="D146" s="3">
        <v>3.1969999999999998E-2</v>
      </c>
      <c r="E146" s="2">
        <v>2</v>
      </c>
    </row>
    <row r="147" spans="1:5">
      <c r="A147" s="4">
        <v>3</v>
      </c>
      <c r="B147" s="4">
        <v>5</v>
      </c>
      <c r="C147" s="4">
        <v>3</v>
      </c>
      <c r="D147" s="3">
        <v>0.14052999999999999</v>
      </c>
      <c r="E147" s="2">
        <v>2</v>
      </c>
    </row>
    <row r="148" spans="1:5">
      <c r="A148" s="4">
        <v>3</v>
      </c>
      <c r="B148" s="4">
        <v>6</v>
      </c>
      <c r="C148" s="4">
        <v>1</v>
      </c>
      <c r="D148" s="3">
        <v>4.9209999999999997E-2</v>
      </c>
      <c r="E148" s="2">
        <v>2</v>
      </c>
    </row>
    <row r="149" spans="1:5">
      <c r="A149" s="4">
        <v>3</v>
      </c>
      <c r="B149" s="4">
        <v>6</v>
      </c>
      <c r="C149" s="4">
        <v>2</v>
      </c>
      <c r="D149" s="3">
        <v>4.197E-2</v>
      </c>
      <c r="E149" s="2">
        <v>2</v>
      </c>
    </row>
    <row r="150" spans="1:5">
      <c r="A150" s="4">
        <v>3</v>
      </c>
      <c r="B150" s="4">
        <v>6</v>
      </c>
      <c r="C150" s="4">
        <v>3</v>
      </c>
      <c r="D150" s="3">
        <v>5.4609999999999999E-2</v>
      </c>
      <c r="E150" s="2">
        <v>2</v>
      </c>
    </row>
    <row r="151" spans="1:5">
      <c r="A151" s="4">
        <v>6</v>
      </c>
      <c r="B151" s="4">
        <v>1</v>
      </c>
      <c r="C151" s="4">
        <v>1</v>
      </c>
      <c r="D151" s="3">
        <v>5.1580000000000001E-2</v>
      </c>
      <c r="E151" s="2">
        <v>2</v>
      </c>
    </row>
    <row r="152" spans="1:5">
      <c r="A152" s="4">
        <v>6</v>
      </c>
      <c r="B152" s="4">
        <v>1</v>
      </c>
      <c r="C152" s="4">
        <v>2</v>
      </c>
      <c r="D152" s="3">
        <v>6.4869999999999997E-2</v>
      </c>
      <c r="E152" s="2">
        <v>2</v>
      </c>
    </row>
    <row r="153" spans="1:5">
      <c r="A153" s="4">
        <v>6</v>
      </c>
      <c r="B153" s="4">
        <v>1</v>
      </c>
      <c r="C153" s="4">
        <v>3</v>
      </c>
      <c r="D153" s="3">
        <v>5.987E-2</v>
      </c>
      <c r="E153" s="2">
        <v>2</v>
      </c>
    </row>
    <row r="154" spans="1:5">
      <c r="A154" s="4">
        <v>6</v>
      </c>
      <c r="B154" s="4">
        <v>2</v>
      </c>
      <c r="C154" s="4">
        <v>1</v>
      </c>
      <c r="D154" s="3">
        <v>6.3420000000000004E-2</v>
      </c>
      <c r="E154" s="2">
        <v>2</v>
      </c>
    </row>
    <row r="155" spans="1:5">
      <c r="A155" s="4">
        <v>6</v>
      </c>
      <c r="B155" s="4">
        <v>2</v>
      </c>
      <c r="C155" s="4">
        <v>2</v>
      </c>
      <c r="D155" s="3">
        <v>6.9870000000000002E-2</v>
      </c>
      <c r="E155" s="2">
        <v>2</v>
      </c>
    </row>
    <row r="156" spans="1:5">
      <c r="A156" s="4">
        <v>6</v>
      </c>
      <c r="B156" s="4">
        <v>2</v>
      </c>
      <c r="C156" s="4">
        <v>3</v>
      </c>
      <c r="D156" s="3">
        <v>7.0919999999999997E-2</v>
      </c>
      <c r="E156" s="2">
        <v>2</v>
      </c>
    </row>
    <row r="157" spans="1:5">
      <c r="A157" s="4">
        <v>6</v>
      </c>
      <c r="B157" s="4">
        <v>3</v>
      </c>
      <c r="C157" s="4">
        <v>1</v>
      </c>
      <c r="D157" s="3">
        <v>3.1579999999999997E-2</v>
      </c>
      <c r="E157" s="2">
        <v>2</v>
      </c>
    </row>
    <row r="158" spans="1:5">
      <c r="A158" s="4">
        <v>6</v>
      </c>
      <c r="B158" s="4">
        <v>3</v>
      </c>
      <c r="C158" s="4">
        <v>2</v>
      </c>
      <c r="D158" s="3">
        <v>2.9080000000000002E-2</v>
      </c>
      <c r="E158" s="2">
        <v>2</v>
      </c>
    </row>
    <row r="159" spans="1:5">
      <c r="A159" s="4">
        <v>6</v>
      </c>
      <c r="B159" s="4">
        <v>3</v>
      </c>
      <c r="C159" s="4">
        <v>3</v>
      </c>
      <c r="D159" s="3">
        <v>7.3679999999999995E-2</v>
      </c>
      <c r="E159" s="2">
        <v>2</v>
      </c>
    </row>
    <row r="160" spans="1:5">
      <c r="A160" s="4">
        <v>6</v>
      </c>
      <c r="B160" s="4">
        <v>4</v>
      </c>
      <c r="C160" s="4">
        <v>1</v>
      </c>
      <c r="D160" s="3">
        <v>5.5129999999999998E-2</v>
      </c>
      <c r="E160" s="2">
        <v>2</v>
      </c>
    </row>
    <row r="161" spans="1:5">
      <c r="A161" s="4">
        <v>6</v>
      </c>
      <c r="B161" s="4">
        <v>4</v>
      </c>
      <c r="C161" s="4">
        <v>2</v>
      </c>
      <c r="D161" s="3">
        <v>2.9739999999999999E-2</v>
      </c>
      <c r="E161" s="2">
        <v>2</v>
      </c>
    </row>
    <row r="162" spans="1:5">
      <c r="A162" s="4">
        <v>6</v>
      </c>
      <c r="B162" s="4">
        <v>4</v>
      </c>
      <c r="C162" s="4">
        <v>3</v>
      </c>
      <c r="D162" s="3">
        <v>4.6050000000000001E-2</v>
      </c>
      <c r="E162" s="2">
        <v>2</v>
      </c>
    </row>
    <row r="163" spans="1:5">
      <c r="A163" s="4">
        <v>6</v>
      </c>
      <c r="B163" s="4">
        <v>5</v>
      </c>
      <c r="C163" s="4">
        <v>1</v>
      </c>
      <c r="D163" s="3">
        <v>8.9609999999999995E-2</v>
      </c>
      <c r="E163" s="2">
        <v>2</v>
      </c>
    </row>
    <row r="164" spans="1:5">
      <c r="A164" s="4">
        <v>6</v>
      </c>
      <c r="B164" s="4">
        <v>5</v>
      </c>
      <c r="C164" s="4">
        <v>2</v>
      </c>
      <c r="D164" s="3">
        <v>5.1319999999999998E-2</v>
      </c>
      <c r="E164" s="2">
        <v>2</v>
      </c>
    </row>
    <row r="165" spans="1:5">
      <c r="A165" s="4">
        <v>6</v>
      </c>
      <c r="B165" s="4">
        <v>5</v>
      </c>
      <c r="C165" s="4">
        <v>3</v>
      </c>
      <c r="D165" s="3">
        <v>0.11316</v>
      </c>
      <c r="E165" s="2">
        <v>2</v>
      </c>
    </row>
    <row r="166" spans="1:5">
      <c r="A166" s="4">
        <v>6</v>
      </c>
      <c r="B166" s="4">
        <v>6</v>
      </c>
      <c r="C166" s="4">
        <v>1</v>
      </c>
      <c r="D166" s="3">
        <v>6.4339999999999994E-2</v>
      </c>
      <c r="E166" s="2">
        <v>2</v>
      </c>
    </row>
    <row r="167" spans="1:5">
      <c r="A167" s="4">
        <v>6</v>
      </c>
      <c r="B167" s="4">
        <v>6</v>
      </c>
      <c r="C167" s="4">
        <v>2</v>
      </c>
      <c r="D167" s="3">
        <v>3.1449999999999999E-2</v>
      </c>
      <c r="E167" s="2">
        <v>2</v>
      </c>
    </row>
    <row r="168" spans="1:5">
      <c r="A168" s="4">
        <v>6</v>
      </c>
      <c r="B168" s="4">
        <v>6</v>
      </c>
      <c r="C168" s="4">
        <v>3</v>
      </c>
      <c r="D168" s="3">
        <v>4.3290000000000002E-2</v>
      </c>
      <c r="E168" s="2">
        <v>2</v>
      </c>
    </row>
    <row r="169" spans="1:5">
      <c r="A169" s="4">
        <v>9</v>
      </c>
      <c r="B169" s="4">
        <v>1</v>
      </c>
      <c r="C169" s="4">
        <v>1</v>
      </c>
      <c r="D169" s="3">
        <v>0.12211</v>
      </c>
      <c r="E169" s="2">
        <v>2</v>
      </c>
    </row>
    <row r="170" spans="1:5">
      <c r="A170" s="4">
        <v>9</v>
      </c>
      <c r="B170" s="4">
        <v>1</v>
      </c>
      <c r="C170" s="4">
        <v>2</v>
      </c>
      <c r="D170" s="3">
        <v>0.10395</v>
      </c>
      <c r="E170" s="2">
        <v>2</v>
      </c>
    </row>
    <row r="171" spans="1:5">
      <c r="A171" s="4">
        <v>9</v>
      </c>
      <c r="B171" s="4">
        <v>1</v>
      </c>
      <c r="C171" s="4">
        <v>3</v>
      </c>
      <c r="D171" s="3">
        <v>7.7499999999999999E-2</v>
      </c>
      <c r="E171" s="2">
        <v>2</v>
      </c>
    </row>
    <row r="172" spans="1:5">
      <c r="A172" s="4">
        <v>9</v>
      </c>
      <c r="B172" s="4">
        <v>2</v>
      </c>
      <c r="C172" s="4">
        <v>1</v>
      </c>
      <c r="D172" s="3">
        <v>0.11592</v>
      </c>
      <c r="E172" s="2">
        <v>2</v>
      </c>
    </row>
    <row r="173" spans="1:5">
      <c r="A173" s="4">
        <v>9</v>
      </c>
      <c r="B173" s="4">
        <v>2</v>
      </c>
      <c r="C173" s="4">
        <v>2</v>
      </c>
      <c r="D173" s="3">
        <v>7.8030000000000002E-2</v>
      </c>
      <c r="E173" s="2">
        <v>2</v>
      </c>
    </row>
    <row r="174" spans="1:5">
      <c r="A174" s="4">
        <v>9</v>
      </c>
      <c r="B174" s="4">
        <v>2</v>
      </c>
      <c r="C174" s="4">
        <v>3</v>
      </c>
      <c r="D174" s="3">
        <v>0.14446999999999999</v>
      </c>
      <c r="E174" s="2">
        <v>2</v>
      </c>
    </row>
    <row r="175" spans="1:5">
      <c r="A175" s="4">
        <v>9</v>
      </c>
      <c r="B175" s="4">
        <v>3</v>
      </c>
      <c r="C175" s="4">
        <v>1</v>
      </c>
      <c r="D175" s="3">
        <v>0.13367999999999999</v>
      </c>
      <c r="E175" s="2">
        <v>2</v>
      </c>
    </row>
    <row r="176" spans="1:5">
      <c r="A176" s="4">
        <v>9</v>
      </c>
      <c r="B176" s="4">
        <v>3</v>
      </c>
      <c r="C176" s="4">
        <v>2</v>
      </c>
      <c r="D176" s="3">
        <v>0.11065999999999999</v>
      </c>
      <c r="E176" s="2">
        <v>2</v>
      </c>
    </row>
    <row r="177" spans="1:5">
      <c r="A177" s="4">
        <v>9</v>
      </c>
      <c r="B177" s="4">
        <v>3</v>
      </c>
      <c r="C177" s="4">
        <v>3</v>
      </c>
      <c r="D177" s="3">
        <v>0.13433999999999999</v>
      </c>
      <c r="E177" s="2">
        <v>2</v>
      </c>
    </row>
    <row r="178" spans="1:5">
      <c r="A178" s="4">
        <v>9</v>
      </c>
      <c r="B178" s="4">
        <v>4</v>
      </c>
      <c r="C178" s="4">
        <v>1</v>
      </c>
      <c r="D178" s="3">
        <v>6.3549999999999995E-2</v>
      </c>
      <c r="E178" s="2">
        <v>2</v>
      </c>
    </row>
    <row r="179" spans="1:5">
      <c r="A179" s="4">
        <v>9</v>
      </c>
      <c r="B179" s="4">
        <v>4</v>
      </c>
      <c r="C179" s="4">
        <v>2</v>
      </c>
      <c r="D179" s="3">
        <v>0.12645000000000001</v>
      </c>
      <c r="E179" s="2">
        <v>2</v>
      </c>
    </row>
    <row r="180" spans="1:5">
      <c r="A180" s="4">
        <v>9</v>
      </c>
      <c r="B180" s="4">
        <v>4</v>
      </c>
      <c r="C180" s="4">
        <v>3</v>
      </c>
      <c r="D180" s="3">
        <v>8.4080000000000002E-2</v>
      </c>
      <c r="E180" s="2">
        <v>2</v>
      </c>
    </row>
    <row r="181" spans="1:5">
      <c r="A181" s="4">
        <v>9</v>
      </c>
      <c r="B181" s="4">
        <v>5</v>
      </c>
      <c r="C181" s="4">
        <v>1</v>
      </c>
      <c r="D181" s="3">
        <v>5.5660000000000001E-2</v>
      </c>
      <c r="E181" s="2">
        <v>2</v>
      </c>
    </row>
    <row r="182" spans="1:5">
      <c r="A182" s="4">
        <v>9</v>
      </c>
      <c r="B182" s="4">
        <v>5</v>
      </c>
      <c r="C182" s="4">
        <v>2</v>
      </c>
      <c r="D182" s="3">
        <v>0.10474</v>
      </c>
      <c r="E182" s="2">
        <v>2</v>
      </c>
    </row>
    <row r="183" spans="1:5">
      <c r="A183" s="4">
        <v>9</v>
      </c>
      <c r="B183" s="4">
        <v>5</v>
      </c>
      <c r="C183" s="4">
        <v>3</v>
      </c>
      <c r="D183" s="3">
        <v>5.0389999999999997E-2</v>
      </c>
      <c r="E183" s="2">
        <v>2</v>
      </c>
    </row>
    <row r="184" spans="1:5">
      <c r="A184" s="4">
        <v>9</v>
      </c>
      <c r="B184" s="4">
        <v>6</v>
      </c>
      <c r="C184" s="4">
        <v>1</v>
      </c>
      <c r="D184" s="3">
        <v>3.1579999999999997E-2</v>
      </c>
      <c r="E184" s="2">
        <v>2</v>
      </c>
    </row>
    <row r="185" spans="1:5">
      <c r="A185" s="4">
        <v>9</v>
      </c>
      <c r="B185" s="4">
        <v>6</v>
      </c>
      <c r="C185" s="4">
        <v>2</v>
      </c>
      <c r="D185" s="3">
        <v>5.6579999999999998E-2</v>
      </c>
      <c r="E185" s="2">
        <v>2</v>
      </c>
    </row>
    <row r="186" spans="1:5">
      <c r="A186" s="4">
        <v>9</v>
      </c>
      <c r="B186" s="4">
        <v>6</v>
      </c>
      <c r="C186" s="4">
        <v>3</v>
      </c>
      <c r="D186" s="3">
        <v>3.6049999999999999E-2</v>
      </c>
      <c r="E186" s="2">
        <v>2</v>
      </c>
    </row>
    <row r="187" spans="1:5">
      <c r="A187" s="1" t="e">
        <v>#NULL!</v>
      </c>
      <c r="B187" s="1" t="e">
        <v>#NULL!</v>
      </c>
      <c r="C187" s="1" t="e">
        <v>#NULL!</v>
      </c>
      <c r="D187" s="1" t="e">
        <v>#NULL!</v>
      </c>
      <c r="E187" s="1" t="e">
        <v>#NULL!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D023C-732B-48DB-A9AC-4FBABA460E20}">
  <dimension ref="B1:K55"/>
  <sheetViews>
    <sheetView topLeftCell="D1" zoomScale="96" zoomScaleNormal="83" workbookViewId="0">
      <selection activeCell="H3" sqref="H3:H22"/>
    </sheetView>
  </sheetViews>
  <sheetFormatPr defaultRowHeight="14.4"/>
  <cols>
    <col min="4" max="4" width="10.109375" bestFit="1" customWidth="1"/>
    <col min="5" max="5" width="28.6640625" customWidth="1"/>
    <col min="8" max="8" width="23.109375" customWidth="1"/>
  </cols>
  <sheetData>
    <row r="1" spans="2:11">
      <c r="B1" t="s">
        <v>10</v>
      </c>
      <c r="C1" t="s">
        <v>1</v>
      </c>
      <c r="D1" t="s">
        <v>11</v>
      </c>
      <c r="F1" t="s">
        <v>5</v>
      </c>
      <c r="G1" t="s">
        <v>9</v>
      </c>
      <c r="H1" t="s">
        <v>11</v>
      </c>
    </row>
    <row r="2" spans="2:11">
      <c r="B2" s="5">
        <v>0.03</v>
      </c>
      <c r="C2" s="4">
        <v>30</v>
      </c>
      <c r="D2" s="3">
        <v>4.4209999999999999E-2</v>
      </c>
      <c r="F2" t="s">
        <v>6</v>
      </c>
      <c r="G2">
        <v>0</v>
      </c>
      <c r="K2" t="s">
        <v>12</v>
      </c>
    </row>
    <row r="3" spans="2:11">
      <c r="B3" s="5">
        <v>0.03</v>
      </c>
      <c r="C3" s="4">
        <v>30</v>
      </c>
      <c r="D3" s="3">
        <v>1.737E-2</v>
      </c>
      <c r="F3" t="s">
        <v>6</v>
      </c>
      <c r="G3">
        <v>30</v>
      </c>
      <c r="H3" s="7">
        <f>MEDIAN(D2:D4)</f>
        <v>3.4340000000000002E-2</v>
      </c>
      <c r="K3" t="s">
        <v>13</v>
      </c>
    </row>
    <row r="4" spans="2:11">
      <c r="B4" s="5">
        <v>0.03</v>
      </c>
      <c r="C4" s="4">
        <v>30</v>
      </c>
      <c r="D4" s="3">
        <v>3.4340000000000002E-2</v>
      </c>
      <c r="F4" t="s">
        <v>6</v>
      </c>
      <c r="G4">
        <v>60</v>
      </c>
      <c r="H4" s="7">
        <f>MEDIAN(D5:D7)</f>
        <v>5.1839999999999997E-2</v>
      </c>
      <c r="K4" t="s">
        <v>14</v>
      </c>
    </row>
    <row r="5" spans="2:11">
      <c r="B5" s="5">
        <v>0.03</v>
      </c>
      <c r="C5" s="4">
        <v>60</v>
      </c>
      <c r="D5" s="3">
        <v>5.1839999999999997E-2</v>
      </c>
      <c r="F5" t="s">
        <v>6</v>
      </c>
      <c r="G5">
        <v>90</v>
      </c>
      <c r="H5" s="7">
        <f>MEDIAN(D8:D10)</f>
        <v>3.5000000000000003E-2</v>
      </c>
    </row>
    <row r="6" spans="2:11">
      <c r="B6" s="5">
        <v>0.03</v>
      </c>
      <c r="C6" s="4">
        <v>60</v>
      </c>
      <c r="D6" s="3">
        <v>2.6839999999999999E-2</v>
      </c>
      <c r="F6" t="s">
        <v>6</v>
      </c>
      <c r="G6">
        <v>120</v>
      </c>
      <c r="H6" s="7">
        <f>MEDIAN(D11:D13)</f>
        <v>9.9339999999999998E-2</v>
      </c>
    </row>
    <row r="7" spans="2:11">
      <c r="B7" s="5">
        <v>0.03</v>
      </c>
      <c r="C7" s="4">
        <v>60</v>
      </c>
      <c r="D7" s="3">
        <v>5.9740000000000001E-2</v>
      </c>
      <c r="F7" t="s">
        <v>6</v>
      </c>
      <c r="G7">
        <v>150</v>
      </c>
      <c r="H7" s="7">
        <f>MEDIAN(D14:D16)</f>
        <v>3.1969999999999998E-2</v>
      </c>
    </row>
    <row r="8" spans="2:11">
      <c r="B8" s="5">
        <v>0.03</v>
      </c>
      <c r="C8" s="4">
        <v>90</v>
      </c>
      <c r="D8" s="3">
        <v>6.1580000000000003E-2</v>
      </c>
      <c r="F8" t="s">
        <v>6</v>
      </c>
      <c r="G8">
        <v>180</v>
      </c>
      <c r="H8" s="7">
        <f>MEDIAN(D17:D19)</f>
        <v>4.9209999999999997E-2</v>
      </c>
    </row>
    <row r="9" spans="2:11">
      <c r="B9" s="5">
        <v>0.03</v>
      </c>
      <c r="C9" s="4">
        <v>90</v>
      </c>
      <c r="D9" s="3">
        <v>3.2500000000000001E-2</v>
      </c>
      <c r="F9" t="s">
        <v>7</v>
      </c>
      <c r="G9">
        <v>0</v>
      </c>
      <c r="H9" s="7"/>
    </row>
    <row r="10" spans="2:11">
      <c r="B10" s="5">
        <v>0.03</v>
      </c>
      <c r="C10" s="4">
        <v>90</v>
      </c>
      <c r="D10" s="3">
        <v>3.5000000000000003E-2</v>
      </c>
      <c r="F10" t="s">
        <v>7</v>
      </c>
      <c r="G10">
        <v>30</v>
      </c>
      <c r="H10" s="7">
        <f>MEDIAN(D20:D22)</f>
        <v>5.987E-2</v>
      </c>
    </row>
    <row r="11" spans="2:11">
      <c r="B11" s="5">
        <v>0.03</v>
      </c>
      <c r="C11" s="4">
        <v>120</v>
      </c>
      <c r="D11" s="3">
        <v>5.3159999999999999E-2</v>
      </c>
      <c r="F11" t="s">
        <v>7</v>
      </c>
      <c r="G11">
        <v>60</v>
      </c>
      <c r="H11" s="7">
        <f>MEDIAN(D23:D25)</f>
        <v>6.9870000000000002E-2</v>
      </c>
    </row>
    <row r="12" spans="2:11">
      <c r="B12" s="5">
        <v>0.03</v>
      </c>
      <c r="C12" s="4">
        <v>120</v>
      </c>
      <c r="D12" s="3">
        <v>0.12961</v>
      </c>
      <c r="F12" t="s">
        <v>7</v>
      </c>
      <c r="G12">
        <v>90</v>
      </c>
      <c r="H12" s="7">
        <f>MEDIAN(D26:D28)</f>
        <v>3.1579999999999997E-2</v>
      </c>
    </row>
    <row r="13" spans="2:11">
      <c r="B13" s="5">
        <v>0.03</v>
      </c>
      <c r="C13" s="4">
        <v>120</v>
      </c>
      <c r="D13" s="3">
        <v>9.9339999999999998E-2</v>
      </c>
      <c r="F13" t="s">
        <v>7</v>
      </c>
      <c r="G13">
        <v>120</v>
      </c>
      <c r="H13" s="7">
        <f>MEDIAN(D29:D31)</f>
        <v>4.6050000000000001E-2</v>
      </c>
    </row>
    <row r="14" spans="2:11">
      <c r="B14" s="5">
        <v>0.03</v>
      </c>
      <c r="C14" s="4">
        <v>150</v>
      </c>
      <c r="D14" s="3">
        <v>7.1000000000000004E-3</v>
      </c>
      <c r="F14" t="s">
        <v>7</v>
      </c>
      <c r="G14">
        <v>150</v>
      </c>
      <c r="H14" s="7">
        <f>MEDIAN(D32:D34)</f>
        <v>8.9609999999999995E-2</v>
      </c>
    </row>
    <row r="15" spans="2:11">
      <c r="B15" s="5">
        <v>0.03</v>
      </c>
      <c r="C15" s="4">
        <v>150</v>
      </c>
      <c r="D15" s="3">
        <v>3.1969999999999998E-2</v>
      </c>
      <c r="F15" t="s">
        <v>7</v>
      </c>
      <c r="G15">
        <v>180</v>
      </c>
      <c r="H15" s="7">
        <f>MEDIAN(D35:D37)</f>
        <v>4.3290000000000002E-2</v>
      </c>
    </row>
    <row r="16" spans="2:11">
      <c r="B16" s="5">
        <v>0.03</v>
      </c>
      <c r="C16" s="4">
        <v>150</v>
      </c>
      <c r="D16" s="3">
        <v>0.14052999999999999</v>
      </c>
      <c r="F16" t="s">
        <v>8</v>
      </c>
      <c r="G16">
        <v>0</v>
      </c>
      <c r="H16" s="7"/>
    </row>
    <row r="17" spans="2:8">
      <c r="B17" s="5">
        <v>0.03</v>
      </c>
      <c r="C17" s="4">
        <v>180</v>
      </c>
      <c r="D17" s="3">
        <v>4.9209999999999997E-2</v>
      </c>
      <c r="F17" t="s">
        <v>8</v>
      </c>
      <c r="G17">
        <v>30</v>
      </c>
      <c r="H17" s="7">
        <f>MEDIAN($D38:$D40)</f>
        <v>0.10395</v>
      </c>
    </row>
    <row r="18" spans="2:8">
      <c r="B18" s="5">
        <v>0.03</v>
      </c>
      <c r="C18" s="4">
        <v>180</v>
      </c>
      <c r="D18" s="3">
        <v>4.197E-2</v>
      </c>
      <c r="F18" t="s">
        <v>8</v>
      </c>
      <c r="G18">
        <v>60</v>
      </c>
      <c r="H18" s="7">
        <f>MEDIAN($D41:$D43)</f>
        <v>0.11592</v>
      </c>
    </row>
    <row r="19" spans="2:8">
      <c r="B19" s="5">
        <v>0.03</v>
      </c>
      <c r="C19" s="4">
        <v>180</v>
      </c>
      <c r="D19" s="3">
        <v>5.4609999999999999E-2</v>
      </c>
      <c r="F19" t="s">
        <v>8</v>
      </c>
      <c r="G19">
        <v>90</v>
      </c>
      <c r="H19" s="7">
        <f>MEDIAN($D44:$D46)</f>
        <v>0.13367999999999999</v>
      </c>
    </row>
    <row r="20" spans="2:8">
      <c r="B20" s="5">
        <v>0.06</v>
      </c>
      <c r="C20" s="4">
        <v>30</v>
      </c>
      <c r="D20" s="3">
        <v>5.1580000000000001E-2</v>
      </c>
      <c r="F20" t="s">
        <v>8</v>
      </c>
      <c r="G20">
        <v>120</v>
      </c>
      <c r="H20" s="7">
        <f>MEDIAN($D47:$D49)</f>
        <v>8.4080000000000002E-2</v>
      </c>
    </row>
    <row r="21" spans="2:8">
      <c r="B21" s="5">
        <v>0.06</v>
      </c>
      <c r="C21" s="4">
        <v>30</v>
      </c>
      <c r="D21" s="3">
        <v>6.4869999999999997E-2</v>
      </c>
      <c r="F21" t="s">
        <v>8</v>
      </c>
      <c r="G21">
        <v>150</v>
      </c>
      <c r="H21" s="7">
        <f>MEDIAN($D50:$D52)</f>
        <v>5.5660000000000001E-2</v>
      </c>
    </row>
    <row r="22" spans="2:8">
      <c r="B22" s="5">
        <v>0.06</v>
      </c>
      <c r="C22" s="4">
        <v>30</v>
      </c>
      <c r="D22" s="3">
        <v>5.987E-2</v>
      </c>
      <c r="F22" t="s">
        <v>8</v>
      </c>
      <c r="G22">
        <v>180</v>
      </c>
      <c r="H22" s="7">
        <f>MEDIAN($D53:$D55)</f>
        <v>3.6049999999999999E-2</v>
      </c>
    </row>
    <row r="23" spans="2:8">
      <c r="B23" s="5">
        <v>0.06</v>
      </c>
      <c r="C23" s="4">
        <v>60</v>
      </c>
      <c r="D23" s="3">
        <v>6.3420000000000004E-2</v>
      </c>
    </row>
    <row r="24" spans="2:8">
      <c r="B24" s="5">
        <v>0.06</v>
      </c>
      <c r="C24" s="4">
        <v>60</v>
      </c>
      <c r="D24" s="3">
        <v>6.9870000000000002E-2</v>
      </c>
    </row>
    <row r="25" spans="2:8">
      <c r="B25" s="5">
        <v>0.06</v>
      </c>
      <c r="C25" s="4">
        <v>60</v>
      </c>
      <c r="D25" s="3">
        <v>7.0919999999999997E-2</v>
      </c>
    </row>
    <row r="26" spans="2:8">
      <c r="B26" s="5">
        <v>0.06</v>
      </c>
      <c r="C26" s="4">
        <v>90</v>
      </c>
      <c r="D26" s="3">
        <v>3.1579999999999997E-2</v>
      </c>
    </row>
    <row r="27" spans="2:8">
      <c r="B27" s="5">
        <v>0.06</v>
      </c>
      <c r="C27" s="4">
        <v>90</v>
      </c>
      <c r="D27" s="3">
        <v>2.9080000000000002E-2</v>
      </c>
    </row>
    <row r="28" spans="2:8">
      <c r="B28" s="5">
        <v>0.06</v>
      </c>
      <c r="C28" s="4">
        <v>90</v>
      </c>
      <c r="D28" s="3">
        <v>7.3679999999999995E-2</v>
      </c>
    </row>
    <row r="29" spans="2:8">
      <c r="B29" s="5">
        <v>0.06</v>
      </c>
      <c r="C29" s="4">
        <v>120</v>
      </c>
      <c r="D29" s="3">
        <v>5.5129999999999998E-2</v>
      </c>
    </row>
    <row r="30" spans="2:8">
      <c r="B30" s="5">
        <v>0.06</v>
      </c>
      <c r="C30" s="4">
        <v>120</v>
      </c>
      <c r="D30" s="3">
        <v>2.9739999999999999E-2</v>
      </c>
    </row>
    <row r="31" spans="2:8">
      <c r="B31" s="5">
        <v>0.06</v>
      </c>
      <c r="C31" s="4">
        <v>120</v>
      </c>
      <c r="D31" s="3">
        <v>4.6050000000000001E-2</v>
      </c>
    </row>
    <row r="32" spans="2:8">
      <c r="B32" s="5">
        <v>0.06</v>
      </c>
      <c r="C32" s="4">
        <v>150</v>
      </c>
      <c r="D32" s="3">
        <v>8.9609999999999995E-2</v>
      </c>
    </row>
    <row r="33" spans="2:4">
      <c r="B33" s="5">
        <v>0.06</v>
      </c>
      <c r="C33" s="4">
        <v>150</v>
      </c>
      <c r="D33" s="3">
        <v>5.1319999999999998E-2</v>
      </c>
    </row>
    <row r="34" spans="2:4">
      <c r="B34" s="5">
        <v>0.06</v>
      </c>
      <c r="C34" s="4">
        <v>150</v>
      </c>
      <c r="D34" s="3">
        <v>0.11316</v>
      </c>
    </row>
    <row r="35" spans="2:4">
      <c r="B35" s="5">
        <v>0.06</v>
      </c>
      <c r="C35" s="4">
        <v>180</v>
      </c>
      <c r="D35" s="3">
        <v>6.4339999999999994E-2</v>
      </c>
    </row>
    <row r="36" spans="2:4">
      <c r="B36" s="5">
        <v>0.06</v>
      </c>
      <c r="C36" s="4">
        <v>180</v>
      </c>
      <c r="D36" s="3">
        <v>3.1449999999999999E-2</v>
      </c>
    </row>
    <row r="37" spans="2:4">
      <c r="B37" s="5">
        <v>0.06</v>
      </c>
      <c r="C37" s="4">
        <v>180</v>
      </c>
      <c r="D37" s="3">
        <v>4.3290000000000002E-2</v>
      </c>
    </row>
    <row r="38" spans="2:4">
      <c r="B38" s="5">
        <v>0.06</v>
      </c>
      <c r="C38" s="4">
        <v>30</v>
      </c>
      <c r="D38" s="3">
        <v>0.12211</v>
      </c>
    </row>
    <row r="39" spans="2:4">
      <c r="B39" s="5">
        <v>0.09</v>
      </c>
      <c r="C39" s="4">
        <v>30</v>
      </c>
      <c r="D39" s="3">
        <v>0.10395</v>
      </c>
    </row>
    <row r="40" spans="2:4">
      <c r="B40" s="5">
        <v>0.09</v>
      </c>
      <c r="C40" s="4">
        <v>30</v>
      </c>
      <c r="D40" s="3">
        <v>7.7499999999999999E-2</v>
      </c>
    </row>
    <row r="41" spans="2:4">
      <c r="B41" s="5">
        <v>0.09</v>
      </c>
      <c r="C41" s="4">
        <v>60</v>
      </c>
      <c r="D41" s="3">
        <v>0.11592</v>
      </c>
    </row>
    <row r="42" spans="2:4">
      <c r="B42" s="5">
        <v>0.09</v>
      </c>
      <c r="C42" s="4">
        <v>60</v>
      </c>
      <c r="D42" s="3">
        <v>7.8030000000000002E-2</v>
      </c>
    </row>
    <row r="43" spans="2:4">
      <c r="B43" s="5">
        <v>0.09</v>
      </c>
      <c r="C43" s="4">
        <v>60</v>
      </c>
      <c r="D43" s="3">
        <v>0.14446999999999999</v>
      </c>
    </row>
    <row r="44" spans="2:4">
      <c r="B44" s="5">
        <v>0.09</v>
      </c>
      <c r="C44" s="4">
        <v>90</v>
      </c>
      <c r="D44" s="3">
        <v>0.13367999999999999</v>
      </c>
    </row>
    <row r="45" spans="2:4">
      <c r="B45" s="5">
        <v>0.09</v>
      </c>
      <c r="C45" s="4">
        <v>90</v>
      </c>
      <c r="D45" s="3">
        <v>0.11065999999999999</v>
      </c>
    </row>
    <row r="46" spans="2:4">
      <c r="B46" s="5">
        <v>0.09</v>
      </c>
      <c r="C46" s="4">
        <v>90</v>
      </c>
      <c r="D46" s="3">
        <v>0.13433999999999999</v>
      </c>
    </row>
    <row r="47" spans="2:4">
      <c r="B47" s="5">
        <v>0.09</v>
      </c>
      <c r="C47" s="4">
        <v>120</v>
      </c>
      <c r="D47" s="3">
        <v>6.3549999999999995E-2</v>
      </c>
    </row>
    <row r="48" spans="2:4">
      <c r="B48" s="5">
        <v>0.09</v>
      </c>
      <c r="C48" s="4">
        <v>120</v>
      </c>
      <c r="D48" s="3">
        <v>0.12645000000000001</v>
      </c>
    </row>
    <row r="49" spans="2:4">
      <c r="B49" s="5">
        <v>0.09</v>
      </c>
      <c r="C49" s="4">
        <v>120</v>
      </c>
      <c r="D49" s="3">
        <v>8.4080000000000002E-2</v>
      </c>
    </row>
    <row r="50" spans="2:4">
      <c r="B50" s="5">
        <v>0.09</v>
      </c>
      <c r="C50" s="4">
        <v>150</v>
      </c>
      <c r="D50" s="3">
        <v>5.5660000000000001E-2</v>
      </c>
    </row>
    <row r="51" spans="2:4">
      <c r="B51" s="5">
        <v>0.09</v>
      </c>
      <c r="C51" s="4">
        <v>150</v>
      </c>
      <c r="D51" s="3">
        <v>0.10474</v>
      </c>
    </row>
    <row r="52" spans="2:4">
      <c r="B52" s="5">
        <v>0.09</v>
      </c>
      <c r="C52" s="4">
        <v>150</v>
      </c>
      <c r="D52" s="3">
        <v>5.0389999999999997E-2</v>
      </c>
    </row>
    <row r="53" spans="2:4">
      <c r="B53" s="5">
        <v>0.09</v>
      </c>
      <c r="C53" s="4">
        <v>180</v>
      </c>
      <c r="D53" s="3">
        <v>3.1579999999999997E-2</v>
      </c>
    </row>
    <row r="54" spans="2:4">
      <c r="B54" s="5">
        <v>0.09</v>
      </c>
      <c r="C54" s="4">
        <v>180</v>
      </c>
      <c r="D54" s="3">
        <v>5.6579999999999998E-2</v>
      </c>
    </row>
    <row r="55" spans="2:4">
      <c r="B55" s="5">
        <v>0.09</v>
      </c>
      <c r="C55" s="4">
        <v>180</v>
      </c>
      <c r="D55" s="3">
        <v>3.6049999999999999E-2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0A66E-0200-4C9A-9EC3-78B692A27C8C}">
  <dimension ref="A1:J54"/>
  <sheetViews>
    <sheetView zoomScale="70" zoomScaleNormal="70" workbookViewId="0">
      <selection activeCell="H1" sqref="H1"/>
    </sheetView>
  </sheetViews>
  <sheetFormatPr defaultRowHeight="14.4"/>
  <cols>
    <col min="7" max="7" width="11.6640625" bestFit="1" customWidth="1"/>
  </cols>
  <sheetData>
    <row r="1" spans="1:10">
      <c r="A1" s="5">
        <v>0.03</v>
      </c>
      <c r="B1">
        <v>30</v>
      </c>
      <c r="C1">
        <v>8.2799999999999994</v>
      </c>
      <c r="E1" t="s">
        <v>5</v>
      </c>
      <c r="F1" t="s">
        <v>9</v>
      </c>
      <c r="G1" t="s">
        <v>16</v>
      </c>
    </row>
    <row r="2" spans="1:10">
      <c r="A2" s="5">
        <v>0.03</v>
      </c>
      <c r="B2">
        <v>30</v>
      </c>
      <c r="C2">
        <v>8.82</v>
      </c>
      <c r="E2" t="s">
        <v>6</v>
      </c>
      <c r="F2">
        <v>0</v>
      </c>
      <c r="J2" t="s">
        <v>12</v>
      </c>
    </row>
    <row r="3" spans="1:10">
      <c r="A3" s="5">
        <v>0.03</v>
      </c>
      <c r="B3">
        <v>30</v>
      </c>
      <c r="C3">
        <v>9.89</v>
      </c>
      <c r="E3" t="s">
        <v>6</v>
      </c>
      <c r="F3">
        <v>30</v>
      </c>
      <c r="G3" s="6">
        <f>MEDIAN(C2:C4)</f>
        <v>8.82</v>
      </c>
      <c r="J3" t="s">
        <v>13</v>
      </c>
    </row>
    <row r="4" spans="1:10">
      <c r="A4" s="5">
        <v>0.03</v>
      </c>
      <c r="B4">
        <v>60</v>
      </c>
      <c r="C4">
        <v>5.75</v>
      </c>
      <c r="E4" t="s">
        <v>6</v>
      </c>
      <c r="F4">
        <v>60</v>
      </c>
      <c r="G4" s="6">
        <f>MEDIAN(C4:C6)</f>
        <v>5.27</v>
      </c>
      <c r="J4" t="s">
        <v>14</v>
      </c>
    </row>
    <row r="5" spans="1:10">
      <c r="A5" s="5">
        <v>0.03</v>
      </c>
      <c r="B5">
        <v>60</v>
      </c>
      <c r="C5">
        <v>4.6399999999999997</v>
      </c>
      <c r="E5" t="s">
        <v>6</v>
      </c>
      <c r="F5">
        <v>90</v>
      </c>
      <c r="G5" s="6">
        <f>MEDIAN(C7:C9)</f>
        <v>4.58</v>
      </c>
    </row>
    <row r="6" spans="1:10">
      <c r="A6" s="5">
        <v>0.03</v>
      </c>
      <c r="B6">
        <v>60</v>
      </c>
      <c r="C6">
        <v>5.27</v>
      </c>
      <c r="E6" t="s">
        <v>6</v>
      </c>
      <c r="F6">
        <v>120</v>
      </c>
      <c r="G6" s="6">
        <f>MEDIAN(C10:C12)</f>
        <v>2.35</v>
      </c>
    </row>
    <row r="7" spans="1:10">
      <c r="A7" s="5">
        <v>0.03</v>
      </c>
      <c r="B7">
        <v>90</v>
      </c>
      <c r="C7">
        <v>4.58</v>
      </c>
      <c r="E7" t="s">
        <v>6</v>
      </c>
      <c r="F7">
        <v>150</v>
      </c>
      <c r="G7" s="6">
        <f>MEDIAN(C13:C15)</f>
        <v>2.96</v>
      </c>
    </row>
    <row r="8" spans="1:10">
      <c r="A8" s="5">
        <v>0.03</v>
      </c>
      <c r="B8">
        <v>90</v>
      </c>
      <c r="C8">
        <v>4.4800000000000004</v>
      </c>
      <c r="E8" t="s">
        <v>6</v>
      </c>
      <c r="F8">
        <v>180</v>
      </c>
      <c r="G8" s="6">
        <f>MEDIAN(C16:C18)</f>
        <v>1.21</v>
      </c>
    </row>
    <row r="9" spans="1:10">
      <c r="A9" s="5">
        <v>0.03</v>
      </c>
      <c r="B9">
        <v>90</v>
      </c>
      <c r="C9">
        <v>8.02</v>
      </c>
      <c r="E9" t="s">
        <v>7</v>
      </c>
      <c r="F9">
        <v>0</v>
      </c>
      <c r="G9" s="6"/>
    </row>
    <row r="10" spans="1:10">
      <c r="A10" s="5">
        <v>0.03</v>
      </c>
      <c r="B10">
        <v>120</v>
      </c>
      <c r="C10">
        <v>2.34</v>
      </c>
      <c r="E10" t="s">
        <v>7</v>
      </c>
      <c r="F10">
        <v>30</v>
      </c>
      <c r="G10" s="6">
        <f>MEDIAN(C19:C21)</f>
        <v>5.34</v>
      </c>
    </row>
    <row r="11" spans="1:10">
      <c r="A11" s="5">
        <v>0.03</v>
      </c>
      <c r="B11">
        <v>120</v>
      </c>
      <c r="C11">
        <v>2.35</v>
      </c>
      <c r="E11" t="s">
        <v>7</v>
      </c>
      <c r="F11">
        <v>60</v>
      </c>
      <c r="G11" s="6">
        <f>MEDIAN(C22:C24)</f>
        <v>3.92</v>
      </c>
    </row>
    <row r="12" spans="1:10">
      <c r="A12" s="5">
        <v>0.03</v>
      </c>
      <c r="B12">
        <v>120</v>
      </c>
      <c r="C12">
        <v>3.39</v>
      </c>
      <c r="E12" t="s">
        <v>7</v>
      </c>
      <c r="F12">
        <v>90</v>
      </c>
      <c r="G12" s="6">
        <f>MEDIAN(C25:C27)</f>
        <v>5.36</v>
      </c>
    </row>
    <row r="13" spans="1:10">
      <c r="A13" s="5">
        <v>0.03</v>
      </c>
      <c r="B13">
        <v>150</v>
      </c>
      <c r="C13">
        <v>2.96</v>
      </c>
      <c r="E13" t="s">
        <v>7</v>
      </c>
      <c r="F13">
        <v>120</v>
      </c>
      <c r="G13" s="6">
        <f>MEDIAN(C28:C30)</f>
        <v>1.72</v>
      </c>
    </row>
    <row r="14" spans="1:10">
      <c r="A14" s="5">
        <v>0.03</v>
      </c>
      <c r="B14">
        <v>150</v>
      </c>
      <c r="C14">
        <v>3.45</v>
      </c>
      <c r="E14" t="s">
        <v>7</v>
      </c>
      <c r="F14">
        <v>150</v>
      </c>
      <c r="G14" s="6">
        <f>MEDIAN(C31:C33)</f>
        <v>1.91</v>
      </c>
    </row>
    <row r="15" spans="1:10">
      <c r="A15" s="5">
        <v>0.03</v>
      </c>
      <c r="B15">
        <v>150</v>
      </c>
      <c r="C15">
        <v>1.23</v>
      </c>
      <c r="E15" t="s">
        <v>7</v>
      </c>
      <c r="F15">
        <v>180</v>
      </c>
      <c r="G15" s="6">
        <f>MEDIAN(C34:C36)</f>
        <v>0.66</v>
      </c>
    </row>
    <row r="16" spans="1:10">
      <c r="A16" s="5">
        <v>0.03</v>
      </c>
      <c r="B16">
        <v>180</v>
      </c>
      <c r="C16">
        <v>1.21</v>
      </c>
      <c r="E16" t="s">
        <v>8</v>
      </c>
      <c r="F16">
        <v>0</v>
      </c>
      <c r="G16" s="6"/>
    </row>
    <row r="17" spans="1:8">
      <c r="A17" s="5">
        <v>0.03</v>
      </c>
      <c r="B17">
        <v>180</v>
      </c>
      <c r="C17">
        <v>1.04</v>
      </c>
      <c r="E17" t="s">
        <v>8</v>
      </c>
      <c r="F17">
        <v>30</v>
      </c>
      <c r="G17" s="6">
        <f>MEDIAN(C37:C39)</f>
        <v>4.08</v>
      </c>
      <c r="H17" s="8">
        <v>0.10395</v>
      </c>
    </row>
    <row r="18" spans="1:8">
      <c r="A18" s="5">
        <v>0.03</v>
      </c>
      <c r="B18">
        <v>180</v>
      </c>
      <c r="C18">
        <v>3.77</v>
      </c>
      <c r="E18" t="s">
        <v>8</v>
      </c>
      <c r="F18">
        <v>60</v>
      </c>
      <c r="G18" s="6">
        <f>MEDIAN(C40:C42)</f>
        <v>4.26</v>
      </c>
      <c r="H18" s="8">
        <v>0.11592</v>
      </c>
    </row>
    <row r="19" spans="1:8">
      <c r="A19" s="5">
        <v>0.06</v>
      </c>
      <c r="B19">
        <v>30</v>
      </c>
      <c r="C19">
        <v>5.34</v>
      </c>
      <c r="E19" t="s">
        <v>8</v>
      </c>
      <c r="F19">
        <v>90</v>
      </c>
      <c r="G19" s="6">
        <f>MEDIAN(C43:C45)</f>
        <v>2.71</v>
      </c>
      <c r="H19" s="8">
        <v>0.13367999999999999</v>
      </c>
    </row>
    <row r="20" spans="1:8">
      <c r="A20" s="5">
        <v>0.06</v>
      </c>
      <c r="B20">
        <v>30</v>
      </c>
      <c r="C20">
        <v>5.67</v>
      </c>
      <c r="E20" t="s">
        <v>8</v>
      </c>
      <c r="F20">
        <v>120</v>
      </c>
      <c r="G20" s="6">
        <f>MEDIAN(C46:C48)</f>
        <v>1.93</v>
      </c>
      <c r="H20" s="8">
        <v>8.4080000000000002E-2</v>
      </c>
    </row>
    <row r="21" spans="1:8">
      <c r="A21" s="5">
        <v>0.06</v>
      </c>
      <c r="B21">
        <v>30</v>
      </c>
      <c r="C21">
        <v>3.63</v>
      </c>
      <c r="E21" t="s">
        <v>8</v>
      </c>
      <c r="F21">
        <v>150</v>
      </c>
      <c r="G21" s="6">
        <f>MEDIAN(C49:C51)</f>
        <v>1.67</v>
      </c>
      <c r="H21" s="8">
        <v>5.5660000000000001E-2</v>
      </c>
    </row>
    <row r="22" spans="1:8">
      <c r="A22" s="5">
        <v>0.06</v>
      </c>
      <c r="B22">
        <v>60</v>
      </c>
      <c r="C22">
        <v>3.92</v>
      </c>
      <c r="E22" t="s">
        <v>8</v>
      </c>
      <c r="F22">
        <v>180</v>
      </c>
      <c r="G22" s="6">
        <f>MEDIAN(C52:C54)</f>
        <v>0.8</v>
      </c>
      <c r="H22" s="8">
        <v>3.6049999999999999E-2</v>
      </c>
    </row>
    <row r="23" spans="1:8">
      <c r="A23" s="5">
        <v>0.06</v>
      </c>
      <c r="B23">
        <v>60</v>
      </c>
      <c r="C23">
        <v>10.16</v>
      </c>
    </row>
    <row r="24" spans="1:8">
      <c r="A24" s="5">
        <v>0.06</v>
      </c>
      <c r="B24">
        <v>60</v>
      </c>
      <c r="C24">
        <v>2.71</v>
      </c>
    </row>
    <row r="25" spans="1:8">
      <c r="A25" s="5">
        <v>0.06</v>
      </c>
      <c r="B25">
        <v>90</v>
      </c>
      <c r="C25">
        <v>6.61</v>
      </c>
    </row>
    <row r="26" spans="1:8">
      <c r="A26" s="5">
        <v>0.06</v>
      </c>
      <c r="B26">
        <v>90</v>
      </c>
      <c r="C26">
        <v>3.31</v>
      </c>
    </row>
    <row r="27" spans="1:8">
      <c r="A27" s="5">
        <v>0.06</v>
      </c>
      <c r="B27">
        <v>90</v>
      </c>
      <c r="C27">
        <v>5.36</v>
      </c>
    </row>
    <row r="28" spans="1:8">
      <c r="A28" s="5">
        <v>0.06</v>
      </c>
      <c r="B28">
        <v>120</v>
      </c>
      <c r="C28">
        <v>6.24</v>
      </c>
    </row>
    <row r="29" spans="1:8">
      <c r="A29" s="5">
        <v>0.06</v>
      </c>
      <c r="B29">
        <v>120</v>
      </c>
      <c r="C29">
        <v>1.31</v>
      </c>
    </row>
    <row r="30" spans="1:8">
      <c r="A30" s="5">
        <v>0.06</v>
      </c>
      <c r="B30">
        <v>120</v>
      </c>
      <c r="C30">
        <v>1.72</v>
      </c>
    </row>
    <row r="31" spans="1:8">
      <c r="A31" s="5">
        <v>0.06</v>
      </c>
      <c r="B31">
        <v>150</v>
      </c>
      <c r="C31">
        <v>1.91</v>
      </c>
    </row>
    <row r="32" spans="1:8">
      <c r="A32" s="5">
        <v>0.06</v>
      </c>
      <c r="B32">
        <v>150</v>
      </c>
      <c r="C32">
        <v>0.64</v>
      </c>
    </row>
    <row r="33" spans="1:3">
      <c r="A33" s="5">
        <v>0.06</v>
      </c>
      <c r="B33">
        <v>150</v>
      </c>
      <c r="C33">
        <v>4.21</v>
      </c>
    </row>
    <row r="34" spans="1:3">
      <c r="A34" s="5">
        <v>0.06</v>
      </c>
      <c r="B34">
        <v>180</v>
      </c>
      <c r="C34">
        <v>0.88</v>
      </c>
    </row>
    <row r="35" spans="1:3">
      <c r="A35" s="5">
        <v>0.06</v>
      </c>
      <c r="B35">
        <v>180</v>
      </c>
      <c r="C35">
        <v>0.41</v>
      </c>
    </row>
    <row r="36" spans="1:3">
      <c r="A36" s="5">
        <v>0.06</v>
      </c>
      <c r="B36">
        <v>180</v>
      </c>
      <c r="C36">
        <v>0.66</v>
      </c>
    </row>
    <row r="37" spans="1:3">
      <c r="A37" s="5">
        <v>0.09</v>
      </c>
      <c r="B37">
        <v>30</v>
      </c>
      <c r="C37">
        <v>2.82</v>
      </c>
    </row>
    <row r="38" spans="1:3">
      <c r="A38" s="5">
        <v>0.09</v>
      </c>
      <c r="B38">
        <v>30</v>
      </c>
      <c r="C38">
        <v>4.75</v>
      </c>
    </row>
    <row r="39" spans="1:3">
      <c r="A39" s="5">
        <v>0.09</v>
      </c>
      <c r="B39">
        <v>30</v>
      </c>
      <c r="C39">
        <v>4.08</v>
      </c>
    </row>
    <row r="40" spans="1:3">
      <c r="A40" s="5">
        <v>0.09</v>
      </c>
      <c r="B40">
        <v>60</v>
      </c>
      <c r="C40">
        <v>4.26</v>
      </c>
    </row>
    <row r="41" spans="1:3">
      <c r="A41" s="5">
        <v>0.09</v>
      </c>
      <c r="B41">
        <v>60</v>
      </c>
      <c r="C41">
        <v>4.6900000000000004</v>
      </c>
    </row>
    <row r="42" spans="1:3">
      <c r="A42" s="5">
        <v>0.09</v>
      </c>
      <c r="B42">
        <v>60</v>
      </c>
      <c r="C42">
        <v>1.99</v>
      </c>
    </row>
    <row r="43" spans="1:3">
      <c r="A43" s="5">
        <v>0.09</v>
      </c>
      <c r="B43">
        <v>90</v>
      </c>
      <c r="C43">
        <v>2.21</v>
      </c>
    </row>
    <row r="44" spans="1:3">
      <c r="A44" s="5">
        <v>0.09</v>
      </c>
      <c r="B44">
        <v>90</v>
      </c>
      <c r="C44">
        <v>3.22</v>
      </c>
    </row>
    <row r="45" spans="1:3">
      <c r="A45" s="5">
        <v>0.09</v>
      </c>
      <c r="B45">
        <v>90</v>
      </c>
      <c r="C45">
        <v>2.71</v>
      </c>
    </row>
    <row r="46" spans="1:3">
      <c r="A46" s="5">
        <v>0.09</v>
      </c>
      <c r="B46">
        <v>120</v>
      </c>
      <c r="C46">
        <v>1.43</v>
      </c>
    </row>
    <row r="47" spans="1:3">
      <c r="A47" s="5">
        <v>0.09</v>
      </c>
      <c r="B47">
        <v>120</v>
      </c>
      <c r="C47">
        <v>1.93</v>
      </c>
    </row>
    <row r="48" spans="1:3">
      <c r="A48" s="5">
        <v>0.09</v>
      </c>
      <c r="B48">
        <v>120</v>
      </c>
      <c r="C48">
        <v>1.95</v>
      </c>
    </row>
    <row r="49" spans="1:3">
      <c r="A49" s="5">
        <v>0.09</v>
      </c>
      <c r="B49">
        <v>150</v>
      </c>
      <c r="C49">
        <v>0.97</v>
      </c>
    </row>
    <row r="50" spans="1:3">
      <c r="A50" s="5">
        <v>0.09</v>
      </c>
      <c r="B50">
        <v>150</v>
      </c>
      <c r="C50">
        <v>2.7</v>
      </c>
    </row>
    <row r="51" spans="1:3">
      <c r="A51" s="5">
        <v>0.09</v>
      </c>
      <c r="B51">
        <v>150</v>
      </c>
      <c r="C51">
        <v>1.67</v>
      </c>
    </row>
    <row r="52" spans="1:3">
      <c r="A52" s="5">
        <v>0.09</v>
      </c>
      <c r="B52">
        <v>180</v>
      </c>
      <c r="C52">
        <v>0.8</v>
      </c>
    </row>
    <row r="53" spans="1:3">
      <c r="A53" s="5">
        <v>0.09</v>
      </c>
      <c r="B53">
        <v>180</v>
      </c>
      <c r="C53">
        <v>1.67</v>
      </c>
    </row>
    <row r="54" spans="1:3">
      <c r="A54" s="5">
        <v>0.09</v>
      </c>
      <c r="B54">
        <v>180</v>
      </c>
      <c r="C54">
        <v>0.32</v>
      </c>
    </row>
  </sheetData>
  <sortState xmlns:xlrd2="http://schemas.microsoft.com/office/spreadsheetml/2017/richdata2" ref="A1:C55">
    <sortCondition ref="A1:A55"/>
  </sortState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53B80-5BC5-4154-AEA2-F1D5857AD9CF}">
  <dimension ref="A1:J54"/>
  <sheetViews>
    <sheetView zoomScale="70" zoomScaleNormal="70" workbookViewId="0">
      <selection activeCell="E1" sqref="E1:H22"/>
    </sheetView>
  </sheetViews>
  <sheetFormatPr defaultRowHeight="14.4"/>
  <cols>
    <col min="7" max="7" width="11.6640625" bestFit="1" customWidth="1"/>
    <col min="8" max="8" width="11.33203125" bestFit="1" customWidth="1"/>
  </cols>
  <sheetData>
    <row r="1" spans="1:10">
      <c r="A1" s="5">
        <v>0.03</v>
      </c>
      <c r="B1">
        <v>30</v>
      </c>
      <c r="C1">
        <v>441.04</v>
      </c>
      <c r="E1" t="s">
        <v>5</v>
      </c>
      <c r="F1" t="s">
        <v>9</v>
      </c>
      <c r="G1" t="s">
        <v>15</v>
      </c>
      <c r="H1" t="s">
        <v>11</v>
      </c>
    </row>
    <row r="2" spans="1:10">
      <c r="A2" s="5">
        <v>0.03</v>
      </c>
      <c r="B2">
        <v>30</v>
      </c>
      <c r="C2">
        <v>1195.3699999999999</v>
      </c>
      <c r="E2" t="s">
        <v>12</v>
      </c>
      <c r="F2">
        <v>0</v>
      </c>
      <c r="J2" t="s">
        <v>12</v>
      </c>
    </row>
    <row r="3" spans="1:10">
      <c r="A3" s="5">
        <v>0.03</v>
      </c>
      <c r="B3">
        <v>30</v>
      </c>
      <c r="C3">
        <v>677.96</v>
      </c>
      <c r="E3" t="s">
        <v>12</v>
      </c>
      <c r="F3">
        <v>30</v>
      </c>
      <c r="G3" s="6">
        <f>MEDIAN(C2:C4)</f>
        <v>677.96</v>
      </c>
      <c r="H3" s="7">
        <v>3.4340000000000002E-2</v>
      </c>
      <c r="J3" t="s">
        <v>13</v>
      </c>
    </row>
    <row r="4" spans="1:10">
      <c r="A4" s="5">
        <v>0.03</v>
      </c>
      <c r="B4">
        <v>60</v>
      </c>
      <c r="C4">
        <v>261.19</v>
      </c>
      <c r="E4" t="s">
        <v>12</v>
      </c>
      <c r="F4">
        <v>60</v>
      </c>
      <c r="G4" s="6">
        <f>MEDIAN(C4:C6)</f>
        <v>261.19</v>
      </c>
      <c r="H4" s="7">
        <v>5.1839999999999997E-2</v>
      </c>
      <c r="J4" t="s">
        <v>14</v>
      </c>
    </row>
    <row r="5" spans="1:10">
      <c r="A5" s="5">
        <v>0.03</v>
      </c>
      <c r="B5">
        <v>60</v>
      </c>
      <c r="C5">
        <v>406.92</v>
      </c>
      <c r="E5" t="s">
        <v>12</v>
      </c>
      <c r="F5">
        <v>90</v>
      </c>
      <c r="G5" s="6">
        <f>MEDIAN(C7:C9)</f>
        <v>324.33999999999997</v>
      </c>
      <c r="H5" s="7">
        <v>3.5000000000000003E-2</v>
      </c>
    </row>
    <row r="6" spans="1:10">
      <c r="A6" s="5">
        <v>0.03</v>
      </c>
      <c r="B6">
        <v>60</v>
      </c>
      <c r="C6">
        <v>207.82</v>
      </c>
      <c r="E6" t="s">
        <v>12</v>
      </c>
      <c r="F6">
        <v>120</v>
      </c>
      <c r="G6" s="6">
        <f>MEDIAN(C10:C12)</f>
        <v>80.28</v>
      </c>
      <c r="H6" s="7">
        <v>9.9339999999999998E-2</v>
      </c>
    </row>
    <row r="7" spans="1:10">
      <c r="A7" s="5">
        <v>0.03</v>
      </c>
      <c r="B7">
        <v>90</v>
      </c>
      <c r="C7">
        <v>175.03</v>
      </c>
      <c r="E7" t="s">
        <v>12</v>
      </c>
      <c r="F7">
        <v>150</v>
      </c>
      <c r="G7" s="6">
        <f>MEDIAN(C13:C15)</f>
        <v>253.9</v>
      </c>
      <c r="H7" s="7">
        <v>3.1969999999999998E-2</v>
      </c>
    </row>
    <row r="8" spans="1:10">
      <c r="A8" s="5">
        <v>0.03</v>
      </c>
      <c r="B8">
        <v>90</v>
      </c>
      <c r="C8">
        <v>324.33999999999997</v>
      </c>
      <c r="E8" t="s">
        <v>12</v>
      </c>
      <c r="F8">
        <v>180</v>
      </c>
      <c r="G8" s="6">
        <f>MEDIAN(C16:C18)</f>
        <v>58.15</v>
      </c>
      <c r="H8" s="7">
        <v>4.9209999999999997E-2</v>
      </c>
    </row>
    <row r="9" spans="1:10">
      <c r="A9" s="5">
        <v>0.03</v>
      </c>
      <c r="B9">
        <v>90</v>
      </c>
      <c r="C9">
        <v>539.37</v>
      </c>
      <c r="E9" t="s">
        <v>13</v>
      </c>
      <c r="F9">
        <v>0</v>
      </c>
      <c r="G9" s="6"/>
      <c r="H9" s="7"/>
    </row>
    <row r="10" spans="1:10">
      <c r="A10" s="5">
        <v>0.03</v>
      </c>
      <c r="B10">
        <v>120</v>
      </c>
      <c r="C10">
        <v>103.74</v>
      </c>
      <c r="E10" t="s">
        <v>13</v>
      </c>
      <c r="F10">
        <v>30</v>
      </c>
      <c r="G10" s="6">
        <f>MEDIAN(C19:C21)</f>
        <v>205.7</v>
      </c>
      <c r="H10" s="7">
        <v>5.987E-2</v>
      </c>
    </row>
    <row r="11" spans="1:10">
      <c r="A11" s="5">
        <v>0.03</v>
      </c>
      <c r="B11">
        <v>120</v>
      </c>
      <c r="C11">
        <v>42.77</v>
      </c>
      <c r="E11" t="s">
        <v>13</v>
      </c>
      <c r="F11">
        <v>60</v>
      </c>
      <c r="G11" s="6">
        <f>MEDIAN(C22:C24)</f>
        <v>145.57</v>
      </c>
      <c r="H11" s="7">
        <v>6.9870000000000002E-2</v>
      </c>
    </row>
    <row r="12" spans="1:10">
      <c r="A12" s="5">
        <v>0.03</v>
      </c>
      <c r="B12">
        <v>120</v>
      </c>
      <c r="C12">
        <v>80.28</v>
      </c>
      <c r="E12" t="s">
        <v>13</v>
      </c>
      <c r="F12">
        <v>90</v>
      </c>
      <c r="G12" s="6">
        <f>MEDIAN(C25:C27)</f>
        <v>268.36</v>
      </c>
      <c r="H12" s="7">
        <v>3.1579999999999997E-2</v>
      </c>
    </row>
    <row r="13" spans="1:10">
      <c r="A13" s="5">
        <v>0.03</v>
      </c>
      <c r="B13">
        <v>150</v>
      </c>
      <c r="C13">
        <v>982.52</v>
      </c>
      <c r="E13" t="s">
        <v>13</v>
      </c>
      <c r="F13">
        <v>120</v>
      </c>
      <c r="G13" s="6">
        <f>MEDIAN(C28:C30)</f>
        <v>103.6</v>
      </c>
      <c r="H13" s="7">
        <v>4.6050000000000001E-2</v>
      </c>
    </row>
    <row r="14" spans="1:10">
      <c r="A14" s="5">
        <v>0.03</v>
      </c>
      <c r="B14">
        <v>150</v>
      </c>
      <c r="C14">
        <v>253.9</v>
      </c>
      <c r="E14" t="s">
        <v>13</v>
      </c>
      <c r="F14">
        <v>150</v>
      </c>
      <c r="G14" s="6">
        <f>MEDIAN(C31:C33)</f>
        <v>50.11</v>
      </c>
      <c r="H14" s="7">
        <v>8.9609999999999995E-2</v>
      </c>
    </row>
    <row r="15" spans="1:10">
      <c r="A15" s="5">
        <v>0.03</v>
      </c>
      <c r="B15">
        <v>150</v>
      </c>
      <c r="C15">
        <v>20.65</v>
      </c>
      <c r="E15" t="s">
        <v>13</v>
      </c>
      <c r="F15">
        <v>180</v>
      </c>
      <c r="G15" s="6">
        <f>MEDIAN(C34:C36)</f>
        <v>32.229999999999997</v>
      </c>
      <c r="H15" s="7">
        <v>4.3290000000000002E-2</v>
      </c>
    </row>
    <row r="16" spans="1:10">
      <c r="A16" s="5">
        <v>0.03</v>
      </c>
      <c r="B16">
        <v>180</v>
      </c>
      <c r="C16">
        <v>57.91</v>
      </c>
      <c r="E16" t="s">
        <v>14</v>
      </c>
      <c r="F16">
        <v>0</v>
      </c>
      <c r="G16" s="6"/>
      <c r="H16" s="7"/>
    </row>
    <row r="17" spans="1:8">
      <c r="A17" s="5">
        <v>0.03</v>
      </c>
      <c r="B17">
        <v>180</v>
      </c>
      <c r="C17">
        <v>58.15</v>
      </c>
      <c r="E17" t="s">
        <v>14</v>
      </c>
      <c r="F17">
        <v>30</v>
      </c>
      <c r="G17" s="6">
        <f>MEDIAN(C37:C39)</f>
        <v>107.72</v>
      </c>
      <c r="H17" s="7">
        <v>0.10395</v>
      </c>
    </row>
    <row r="18" spans="1:8">
      <c r="A18" s="5">
        <v>0.03</v>
      </c>
      <c r="B18">
        <v>180</v>
      </c>
      <c r="C18">
        <v>162.5</v>
      </c>
      <c r="E18" t="s">
        <v>14</v>
      </c>
      <c r="F18">
        <v>60</v>
      </c>
      <c r="G18" s="6">
        <f>MEDIAN(C40:C42)</f>
        <v>86.46</v>
      </c>
      <c r="H18" s="7">
        <v>0.11592</v>
      </c>
    </row>
    <row r="19" spans="1:8">
      <c r="A19" s="5">
        <v>0.06</v>
      </c>
      <c r="B19">
        <v>30</v>
      </c>
      <c r="C19">
        <v>243.63</v>
      </c>
      <c r="E19" t="s">
        <v>14</v>
      </c>
      <c r="F19">
        <v>90</v>
      </c>
      <c r="G19" s="6">
        <f>MEDIAN(C43:C45)</f>
        <v>47.59</v>
      </c>
      <c r="H19" s="7">
        <v>0.13367999999999999</v>
      </c>
    </row>
    <row r="20" spans="1:8">
      <c r="A20" s="5">
        <v>0.06</v>
      </c>
      <c r="B20">
        <v>30</v>
      </c>
      <c r="C20">
        <v>205.7</v>
      </c>
      <c r="E20" t="s">
        <v>14</v>
      </c>
      <c r="F20">
        <v>120</v>
      </c>
      <c r="G20" s="6">
        <f>MEDIAN(C46:C48)</f>
        <v>52.98</v>
      </c>
      <c r="H20" s="7">
        <v>8.4080000000000002E-2</v>
      </c>
    </row>
    <row r="21" spans="1:8">
      <c r="A21" s="5">
        <v>0.06</v>
      </c>
      <c r="B21">
        <v>30</v>
      </c>
      <c r="C21">
        <v>142.71</v>
      </c>
      <c r="E21" t="s">
        <v>14</v>
      </c>
      <c r="F21">
        <v>150</v>
      </c>
      <c r="G21" s="6">
        <f>MEDIAN(C49:C51)</f>
        <v>60.75</v>
      </c>
      <c r="H21" s="7">
        <v>5.5660000000000001E-2</v>
      </c>
    </row>
    <row r="22" spans="1:8">
      <c r="A22" s="5">
        <v>0.06</v>
      </c>
      <c r="B22">
        <v>60</v>
      </c>
      <c r="C22">
        <v>145.57</v>
      </c>
      <c r="E22" t="s">
        <v>14</v>
      </c>
      <c r="F22">
        <v>180</v>
      </c>
      <c r="G22" s="6">
        <f>MEDIAN(C52:C54)</f>
        <v>59.75</v>
      </c>
      <c r="H22" s="7">
        <v>3.6049999999999999E-2</v>
      </c>
    </row>
    <row r="23" spans="1:8">
      <c r="A23" s="5">
        <v>0.06</v>
      </c>
      <c r="B23">
        <v>60</v>
      </c>
      <c r="C23">
        <v>342.45</v>
      </c>
    </row>
    <row r="24" spans="1:8">
      <c r="A24" s="5">
        <v>0.06</v>
      </c>
      <c r="B24">
        <v>60</v>
      </c>
      <c r="C24">
        <v>89.85</v>
      </c>
    </row>
    <row r="25" spans="1:8">
      <c r="A25" s="5">
        <v>0.06</v>
      </c>
      <c r="B25">
        <v>90</v>
      </c>
      <c r="C25">
        <v>493.17</v>
      </c>
    </row>
    <row r="26" spans="1:8">
      <c r="A26" s="5">
        <v>0.06</v>
      </c>
      <c r="B26">
        <v>90</v>
      </c>
      <c r="C26">
        <v>268.36</v>
      </c>
    </row>
    <row r="27" spans="1:8">
      <c r="A27" s="5">
        <v>0.06</v>
      </c>
      <c r="B27">
        <v>90</v>
      </c>
      <c r="C27">
        <v>171.17</v>
      </c>
    </row>
    <row r="28" spans="1:8">
      <c r="A28" s="5">
        <v>0.06</v>
      </c>
      <c r="B28">
        <v>120</v>
      </c>
      <c r="C28">
        <v>266.37</v>
      </c>
    </row>
    <row r="29" spans="1:8">
      <c r="A29" s="5">
        <v>0.06</v>
      </c>
      <c r="B29">
        <v>120</v>
      </c>
      <c r="C29">
        <v>103.6</v>
      </c>
    </row>
    <row r="30" spans="1:8">
      <c r="A30" s="5">
        <v>0.06</v>
      </c>
      <c r="B30">
        <v>120</v>
      </c>
      <c r="C30">
        <v>88.18</v>
      </c>
    </row>
    <row r="31" spans="1:8">
      <c r="A31" s="5">
        <v>0.06</v>
      </c>
      <c r="B31">
        <v>150</v>
      </c>
      <c r="C31">
        <v>50.11</v>
      </c>
    </row>
    <row r="32" spans="1:8">
      <c r="A32" s="5">
        <v>0.06</v>
      </c>
      <c r="B32">
        <v>150</v>
      </c>
      <c r="C32">
        <v>29.54</v>
      </c>
    </row>
    <row r="33" spans="1:3">
      <c r="A33" s="5">
        <v>0.06</v>
      </c>
      <c r="B33">
        <v>150</v>
      </c>
      <c r="C33">
        <v>87.59</v>
      </c>
    </row>
    <row r="34" spans="1:3">
      <c r="A34" s="5">
        <v>0.06</v>
      </c>
      <c r="B34">
        <v>180</v>
      </c>
      <c r="C34">
        <v>32.229999999999997</v>
      </c>
    </row>
    <row r="35" spans="1:3">
      <c r="A35" s="5">
        <v>0.06</v>
      </c>
      <c r="B35">
        <v>180</v>
      </c>
      <c r="C35">
        <v>31.01</v>
      </c>
    </row>
    <row r="36" spans="1:3">
      <c r="A36" s="5">
        <v>0.06</v>
      </c>
      <c r="B36">
        <v>180</v>
      </c>
      <c r="C36">
        <v>35.83</v>
      </c>
    </row>
    <row r="37" spans="1:3">
      <c r="A37" s="5">
        <v>0.09</v>
      </c>
      <c r="B37">
        <v>30</v>
      </c>
      <c r="C37">
        <v>54.3</v>
      </c>
    </row>
    <row r="38" spans="1:3">
      <c r="A38" s="5">
        <v>0.09</v>
      </c>
      <c r="B38">
        <v>30</v>
      </c>
      <c r="C38">
        <v>107.72</v>
      </c>
    </row>
    <row r="39" spans="1:3">
      <c r="A39" s="5">
        <v>0.09</v>
      </c>
      <c r="B39">
        <v>30</v>
      </c>
      <c r="C39">
        <v>124.04</v>
      </c>
    </row>
    <row r="40" spans="1:3">
      <c r="A40" s="5">
        <v>0.09</v>
      </c>
      <c r="B40">
        <v>60</v>
      </c>
      <c r="C40">
        <v>86.46</v>
      </c>
    </row>
    <row r="41" spans="1:3">
      <c r="A41" s="5">
        <v>0.09</v>
      </c>
      <c r="B41">
        <v>60</v>
      </c>
      <c r="C41">
        <v>141.65</v>
      </c>
    </row>
    <row r="42" spans="1:3">
      <c r="A42" s="5">
        <v>0.09</v>
      </c>
      <c r="B42">
        <v>60</v>
      </c>
      <c r="C42">
        <v>32.42</v>
      </c>
    </row>
    <row r="43" spans="1:3">
      <c r="A43" s="5">
        <v>0.09</v>
      </c>
      <c r="B43">
        <v>90</v>
      </c>
      <c r="C43">
        <v>39.01</v>
      </c>
    </row>
    <row r="44" spans="1:3">
      <c r="A44" s="5">
        <v>0.09</v>
      </c>
      <c r="B44">
        <v>90</v>
      </c>
      <c r="C44">
        <v>68.510000000000005</v>
      </c>
    </row>
    <row r="45" spans="1:3">
      <c r="A45" s="5">
        <v>0.09</v>
      </c>
      <c r="B45">
        <v>90</v>
      </c>
      <c r="C45">
        <v>47.59</v>
      </c>
    </row>
    <row r="46" spans="1:3">
      <c r="A46" s="5">
        <v>0.09</v>
      </c>
      <c r="B46">
        <v>120</v>
      </c>
      <c r="C46">
        <v>52.98</v>
      </c>
    </row>
    <row r="47" spans="1:3">
      <c r="A47" s="5">
        <v>0.09</v>
      </c>
      <c r="B47">
        <v>120</v>
      </c>
      <c r="C47">
        <v>35.92</v>
      </c>
    </row>
    <row r="48" spans="1:3">
      <c r="A48" s="5">
        <v>0.09</v>
      </c>
      <c r="B48">
        <v>120</v>
      </c>
      <c r="C48">
        <v>54.63</v>
      </c>
    </row>
    <row r="49" spans="1:3">
      <c r="A49" s="5">
        <v>0.09</v>
      </c>
      <c r="B49">
        <v>150</v>
      </c>
      <c r="C49">
        <v>40.86</v>
      </c>
    </row>
    <row r="50" spans="1:3">
      <c r="A50" s="5">
        <v>0.09</v>
      </c>
      <c r="B50">
        <v>150</v>
      </c>
      <c r="C50">
        <v>60.75</v>
      </c>
    </row>
    <row r="51" spans="1:3">
      <c r="A51" s="5">
        <v>0.09</v>
      </c>
      <c r="B51">
        <v>150</v>
      </c>
      <c r="C51">
        <v>78.27</v>
      </c>
    </row>
    <row r="52" spans="1:3">
      <c r="A52" s="5">
        <v>0.09</v>
      </c>
      <c r="B52">
        <v>180</v>
      </c>
      <c r="C52">
        <v>59.75</v>
      </c>
    </row>
    <row r="53" spans="1:3">
      <c r="A53" s="5">
        <v>0.09</v>
      </c>
      <c r="B53">
        <v>180</v>
      </c>
      <c r="C53">
        <v>69.38</v>
      </c>
    </row>
    <row r="54" spans="1:3">
      <c r="A54" s="5">
        <v>0.09</v>
      </c>
      <c r="B54">
        <v>180</v>
      </c>
      <c r="C54">
        <v>21.1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8F3D2-D5EE-48E3-B2C3-9A76EAB46CDD}">
  <dimension ref="B4:K42"/>
  <sheetViews>
    <sheetView workbookViewId="0">
      <selection activeCell="H9" sqref="H9:H20"/>
    </sheetView>
  </sheetViews>
  <sheetFormatPr defaultRowHeight="14.4"/>
  <sheetData>
    <row r="4" spans="2:11">
      <c r="B4" s="56" t="s">
        <v>35</v>
      </c>
      <c r="C4" s="56"/>
      <c r="D4" s="56"/>
      <c r="E4" s="56"/>
      <c r="F4" s="56"/>
      <c r="G4" s="56"/>
      <c r="H4" s="56"/>
      <c r="I4" s="56"/>
      <c r="J4" s="56"/>
      <c r="K4" s="39"/>
    </row>
    <row r="5" spans="2:11">
      <c r="B5" s="57" t="s">
        <v>27</v>
      </c>
      <c r="C5" s="57" t="s">
        <v>46</v>
      </c>
      <c r="D5" s="58"/>
      <c r="E5" s="58"/>
      <c r="F5" s="58"/>
      <c r="G5" s="58"/>
      <c r="H5" s="58"/>
      <c r="I5" s="58"/>
      <c r="J5" s="58"/>
      <c r="K5" s="39"/>
    </row>
    <row r="6" spans="2:11">
      <c r="B6" s="59" t="s">
        <v>36</v>
      </c>
      <c r="C6" s="59"/>
      <c r="D6" s="59"/>
      <c r="E6" s="61" t="s">
        <v>34</v>
      </c>
      <c r="F6" s="63" t="s">
        <v>43</v>
      </c>
      <c r="G6" s="63"/>
      <c r="H6" s="63"/>
      <c r="I6" s="63"/>
      <c r="J6" s="64"/>
      <c r="K6" s="39"/>
    </row>
    <row r="7" spans="2:11">
      <c r="B7" s="59"/>
      <c r="C7" s="59"/>
      <c r="D7" s="59"/>
      <c r="E7" s="61"/>
      <c r="F7" s="63" t="s">
        <v>37</v>
      </c>
      <c r="G7" s="63" t="s">
        <v>23</v>
      </c>
      <c r="H7" s="63" t="s">
        <v>38</v>
      </c>
      <c r="I7" s="63" t="s">
        <v>39</v>
      </c>
      <c r="J7" s="64"/>
      <c r="K7" s="39"/>
    </row>
    <row r="8" spans="2:11">
      <c r="B8" s="60"/>
      <c r="C8" s="60"/>
      <c r="D8" s="60"/>
      <c r="E8" s="62"/>
      <c r="F8" s="65"/>
      <c r="G8" s="65"/>
      <c r="H8" s="65"/>
      <c r="I8" s="40" t="s">
        <v>40</v>
      </c>
      <c r="J8" s="41" t="s">
        <v>41</v>
      </c>
      <c r="K8" s="39"/>
    </row>
    <row r="9" spans="2:11">
      <c r="B9" s="69" t="s">
        <v>29</v>
      </c>
      <c r="C9" s="69" t="s">
        <v>28</v>
      </c>
      <c r="D9" s="42" t="s">
        <v>31</v>
      </c>
      <c r="E9" s="45">
        <v>-10.903352220999999</v>
      </c>
      <c r="F9" s="48" t="s">
        <v>68</v>
      </c>
      <c r="G9" s="48" t="s">
        <v>69</v>
      </c>
      <c r="H9" s="48" t="s">
        <v>70</v>
      </c>
      <c r="I9" s="48" t="s">
        <v>71</v>
      </c>
      <c r="J9" s="49" t="s">
        <v>72</v>
      </c>
      <c r="K9" s="39"/>
    </row>
    <row r="10" spans="2:11">
      <c r="B10" s="68"/>
      <c r="C10" s="68"/>
      <c r="D10" s="43" t="s">
        <v>32</v>
      </c>
      <c r="E10" s="46">
        <v>-1.2069455543333305</v>
      </c>
      <c r="F10" s="50" t="s">
        <v>73</v>
      </c>
      <c r="G10" s="50" t="s">
        <v>74</v>
      </c>
      <c r="H10" s="50" t="s">
        <v>75</v>
      </c>
      <c r="I10" s="50" t="s">
        <v>76</v>
      </c>
      <c r="J10" s="51" t="s">
        <v>77</v>
      </c>
      <c r="K10" s="39"/>
    </row>
    <row r="11" spans="2:11">
      <c r="B11" s="68"/>
      <c r="C11" s="67"/>
      <c r="D11" s="44" t="s">
        <v>33</v>
      </c>
      <c r="E11" s="47">
        <v>-18.625641107666667</v>
      </c>
      <c r="F11" s="52" t="s">
        <v>78</v>
      </c>
      <c r="G11" s="52" t="s">
        <v>79</v>
      </c>
      <c r="H11" s="52" t="s">
        <v>44</v>
      </c>
      <c r="I11" s="52" t="s">
        <v>80</v>
      </c>
      <c r="J11" s="53" t="s">
        <v>81</v>
      </c>
      <c r="K11" s="39"/>
    </row>
    <row r="12" spans="2:11">
      <c r="B12" s="68"/>
      <c r="C12" s="68" t="s">
        <v>31</v>
      </c>
      <c r="D12" s="43" t="s">
        <v>32</v>
      </c>
      <c r="E12" s="46">
        <v>9.6964066666666682</v>
      </c>
      <c r="F12" s="50" t="s">
        <v>82</v>
      </c>
      <c r="G12" s="50" t="s">
        <v>83</v>
      </c>
      <c r="H12" s="50" t="s">
        <v>84</v>
      </c>
      <c r="I12" s="50" t="s">
        <v>85</v>
      </c>
      <c r="J12" s="51" t="s">
        <v>86</v>
      </c>
      <c r="K12" s="39"/>
    </row>
    <row r="13" spans="2:11">
      <c r="B13" s="68"/>
      <c r="C13" s="67"/>
      <c r="D13" s="44" t="s">
        <v>33</v>
      </c>
      <c r="E13" s="47">
        <v>-7.7222888866666679</v>
      </c>
      <c r="F13" s="52" t="s">
        <v>87</v>
      </c>
      <c r="G13" s="52" t="s">
        <v>88</v>
      </c>
      <c r="H13" s="52" t="s">
        <v>89</v>
      </c>
      <c r="I13" s="52" t="s">
        <v>90</v>
      </c>
      <c r="J13" s="53" t="s">
        <v>91</v>
      </c>
      <c r="K13" s="39"/>
    </row>
    <row r="14" spans="2:11">
      <c r="B14" s="68"/>
      <c r="C14" s="54" t="s">
        <v>32</v>
      </c>
      <c r="D14" s="44" t="s">
        <v>33</v>
      </c>
      <c r="E14" s="47">
        <v>-17.418695553333336</v>
      </c>
      <c r="F14" s="52" t="s">
        <v>92</v>
      </c>
      <c r="G14" s="52" t="s">
        <v>93</v>
      </c>
      <c r="H14" s="52" t="s">
        <v>45</v>
      </c>
      <c r="I14" s="52" t="s">
        <v>94</v>
      </c>
      <c r="J14" s="53" t="s">
        <v>95</v>
      </c>
      <c r="K14" s="39"/>
    </row>
    <row r="15" spans="2:11">
      <c r="B15" s="67" t="s">
        <v>30</v>
      </c>
      <c r="C15" s="67" t="s">
        <v>28</v>
      </c>
      <c r="D15" s="43" t="s">
        <v>31</v>
      </c>
      <c r="E15" s="46">
        <v>-2.9059011109999919</v>
      </c>
      <c r="F15" s="50" t="s">
        <v>96</v>
      </c>
      <c r="G15" s="50" t="s">
        <v>97</v>
      </c>
      <c r="H15" s="50" t="s">
        <v>98</v>
      </c>
      <c r="I15" s="50" t="s">
        <v>99</v>
      </c>
      <c r="J15" s="51" t="s">
        <v>100</v>
      </c>
      <c r="K15" s="39"/>
    </row>
    <row r="16" spans="2:11">
      <c r="B16" s="68"/>
      <c r="C16" s="68"/>
      <c r="D16" s="43" t="s">
        <v>32</v>
      </c>
      <c r="E16" s="46">
        <v>0.28242000011113166</v>
      </c>
      <c r="F16" s="50" t="s">
        <v>101</v>
      </c>
      <c r="G16" s="50" t="s">
        <v>102</v>
      </c>
      <c r="H16" s="50" t="s">
        <v>103</v>
      </c>
      <c r="I16" s="50" t="s">
        <v>104</v>
      </c>
      <c r="J16" s="51" t="s">
        <v>105</v>
      </c>
      <c r="K16" s="39"/>
    </row>
    <row r="17" spans="2:11">
      <c r="B17" s="68"/>
      <c r="C17" s="67"/>
      <c r="D17" s="44" t="s">
        <v>33</v>
      </c>
      <c r="E17" s="47">
        <v>-6.7042711100000218</v>
      </c>
      <c r="F17" s="52" t="s">
        <v>106</v>
      </c>
      <c r="G17" s="52" t="s">
        <v>107</v>
      </c>
      <c r="H17" s="52" t="s">
        <v>108</v>
      </c>
      <c r="I17" s="52" t="s">
        <v>109</v>
      </c>
      <c r="J17" s="53" t="s">
        <v>110</v>
      </c>
      <c r="K17" s="39"/>
    </row>
    <row r="18" spans="2:11">
      <c r="B18" s="68"/>
      <c r="C18" s="70" t="s">
        <v>31</v>
      </c>
      <c r="D18" s="43" t="s">
        <v>32</v>
      </c>
      <c r="E18" s="46">
        <v>3.1883211111111236</v>
      </c>
      <c r="F18" s="50" t="s">
        <v>111</v>
      </c>
      <c r="G18" s="50" t="s">
        <v>112</v>
      </c>
      <c r="H18" s="50" t="s">
        <v>113</v>
      </c>
      <c r="I18" s="50" t="s">
        <v>114</v>
      </c>
      <c r="J18" s="51" t="s">
        <v>115</v>
      </c>
      <c r="K18" s="39"/>
    </row>
    <row r="19" spans="2:11">
      <c r="B19" s="68"/>
      <c r="C19" s="71"/>
      <c r="D19" s="44" t="s">
        <v>33</v>
      </c>
      <c r="E19" s="47">
        <v>-3.7983699990000299</v>
      </c>
      <c r="F19" s="52" t="s">
        <v>116</v>
      </c>
      <c r="G19" s="52" t="s">
        <v>117</v>
      </c>
      <c r="H19" s="52" t="s">
        <v>118</v>
      </c>
      <c r="I19" s="52" t="s">
        <v>119</v>
      </c>
      <c r="J19" s="53" t="s">
        <v>120</v>
      </c>
      <c r="K19" s="39"/>
    </row>
    <row r="20" spans="2:11">
      <c r="B20" s="68"/>
      <c r="C20" s="54" t="s">
        <v>32</v>
      </c>
      <c r="D20" s="44" t="s">
        <v>33</v>
      </c>
      <c r="E20" s="47">
        <v>-6.9866911101111535</v>
      </c>
      <c r="F20" s="52" t="s">
        <v>121</v>
      </c>
      <c r="G20" s="52" t="s">
        <v>122</v>
      </c>
      <c r="H20" s="52" t="s">
        <v>123</v>
      </c>
      <c r="I20" s="52" t="s">
        <v>124</v>
      </c>
      <c r="J20" s="53" t="s">
        <v>125</v>
      </c>
      <c r="K20" s="39"/>
    </row>
    <row r="21" spans="2:11">
      <c r="B21" s="66" t="s">
        <v>42</v>
      </c>
      <c r="C21" s="66"/>
      <c r="D21" s="66"/>
      <c r="E21" s="66"/>
      <c r="F21" s="66"/>
      <c r="G21" s="66"/>
      <c r="H21" s="66"/>
      <c r="I21" s="66"/>
      <c r="J21" s="66"/>
      <c r="K21" s="39"/>
    </row>
    <row r="22" spans="2:11">
      <c r="B22" s="66" t="s">
        <v>47</v>
      </c>
      <c r="C22" s="66"/>
      <c r="D22" s="66"/>
      <c r="E22" s="66"/>
      <c r="F22" s="66"/>
      <c r="G22" s="66"/>
      <c r="H22" s="66"/>
      <c r="I22" s="66"/>
      <c r="J22" s="66"/>
      <c r="K22" s="39"/>
    </row>
    <row r="23" spans="2:11">
      <c r="B23" s="66" t="s">
        <v>48</v>
      </c>
      <c r="C23" s="66"/>
      <c r="D23" s="66"/>
      <c r="E23" s="66"/>
      <c r="F23" s="66"/>
      <c r="G23" s="66"/>
      <c r="H23" s="66"/>
      <c r="I23" s="66"/>
      <c r="J23" s="66"/>
      <c r="K23" s="39"/>
    </row>
    <row r="24" spans="2:11">
      <c r="B24" s="66" t="s">
        <v>49</v>
      </c>
      <c r="C24" s="66"/>
      <c r="D24" s="66"/>
      <c r="E24" s="66"/>
      <c r="F24" s="66"/>
      <c r="G24" s="66"/>
      <c r="H24" s="66"/>
      <c r="I24" s="66"/>
      <c r="J24" s="66"/>
      <c r="K24" s="39"/>
    </row>
    <row r="25" spans="2:11">
      <c r="B25" s="66" t="s">
        <v>50</v>
      </c>
      <c r="C25" s="66"/>
      <c r="D25" s="66"/>
      <c r="E25" s="66"/>
      <c r="F25" s="66"/>
      <c r="G25" s="66"/>
      <c r="H25" s="66"/>
      <c r="I25" s="66"/>
      <c r="J25" s="66"/>
      <c r="K25" s="39"/>
    </row>
    <row r="26" spans="2:11">
      <c r="B26" s="66" t="s">
        <v>51</v>
      </c>
      <c r="C26" s="66"/>
      <c r="D26" s="66"/>
      <c r="E26" s="66"/>
      <c r="F26" s="66"/>
      <c r="G26" s="66"/>
      <c r="H26" s="66"/>
      <c r="I26" s="66"/>
      <c r="J26" s="66"/>
      <c r="K26" s="39"/>
    </row>
    <row r="27" spans="2:11">
      <c r="B27" s="66" t="s">
        <v>52</v>
      </c>
      <c r="C27" s="66"/>
      <c r="D27" s="66"/>
      <c r="E27" s="66"/>
      <c r="F27" s="66"/>
      <c r="G27" s="66"/>
      <c r="H27" s="66"/>
      <c r="I27" s="66"/>
      <c r="J27" s="66"/>
      <c r="K27" s="39"/>
    </row>
    <row r="28" spans="2:11">
      <c r="B28" s="66" t="s">
        <v>53</v>
      </c>
      <c r="C28" s="66"/>
      <c r="D28" s="66"/>
      <c r="E28" s="66"/>
      <c r="F28" s="66"/>
      <c r="G28" s="66"/>
      <c r="H28" s="66"/>
      <c r="I28" s="66"/>
      <c r="J28" s="66"/>
      <c r="K28" s="39"/>
    </row>
    <row r="29" spans="2:11">
      <c r="B29" s="66" t="s">
        <v>54</v>
      </c>
      <c r="C29" s="66"/>
      <c r="D29" s="66"/>
      <c r="E29" s="66"/>
      <c r="F29" s="66"/>
      <c r="G29" s="66"/>
      <c r="H29" s="66"/>
      <c r="I29" s="66"/>
      <c r="J29" s="66"/>
      <c r="K29" s="39"/>
    </row>
    <row r="30" spans="2:11">
      <c r="B30" s="66" t="s">
        <v>55</v>
      </c>
      <c r="C30" s="66"/>
      <c r="D30" s="66"/>
      <c r="E30" s="66"/>
      <c r="F30" s="66"/>
      <c r="G30" s="66"/>
      <c r="H30" s="66"/>
      <c r="I30" s="66"/>
      <c r="J30" s="66"/>
      <c r="K30" s="39"/>
    </row>
    <row r="31" spans="2:11">
      <c r="B31" s="66" t="s">
        <v>56</v>
      </c>
      <c r="C31" s="66"/>
      <c r="D31" s="66"/>
      <c r="E31" s="66"/>
      <c r="F31" s="66"/>
      <c r="G31" s="66"/>
      <c r="H31" s="66"/>
      <c r="I31" s="66"/>
      <c r="J31" s="66"/>
      <c r="K31" s="39"/>
    </row>
    <row r="32" spans="2:11">
      <c r="B32" s="66" t="s">
        <v>57</v>
      </c>
      <c r="C32" s="66"/>
      <c r="D32" s="66"/>
      <c r="E32" s="66"/>
      <c r="F32" s="66"/>
      <c r="G32" s="66"/>
      <c r="H32" s="66"/>
      <c r="I32" s="66"/>
      <c r="J32" s="66"/>
      <c r="K32" s="39"/>
    </row>
    <row r="33" spans="2:11">
      <c r="B33" s="66" t="s">
        <v>58</v>
      </c>
      <c r="C33" s="66"/>
      <c r="D33" s="66"/>
      <c r="E33" s="66"/>
      <c r="F33" s="66"/>
      <c r="G33" s="66"/>
      <c r="H33" s="66"/>
      <c r="I33" s="66"/>
      <c r="J33" s="66"/>
      <c r="K33" s="39"/>
    </row>
    <row r="34" spans="2:11">
      <c r="B34" s="66" t="s">
        <v>59</v>
      </c>
      <c r="C34" s="66"/>
      <c r="D34" s="66"/>
      <c r="E34" s="66"/>
      <c r="F34" s="66"/>
      <c r="G34" s="66"/>
      <c r="H34" s="66"/>
      <c r="I34" s="66"/>
      <c r="J34" s="66"/>
      <c r="K34" s="39"/>
    </row>
    <row r="35" spans="2:11">
      <c r="B35" s="66" t="s">
        <v>60</v>
      </c>
      <c r="C35" s="66"/>
      <c r="D35" s="66"/>
      <c r="E35" s="66"/>
      <c r="F35" s="66"/>
      <c r="G35" s="66"/>
      <c r="H35" s="66"/>
      <c r="I35" s="66"/>
      <c r="J35" s="66"/>
      <c r="K35" s="39"/>
    </row>
    <row r="36" spans="2:11">
      <c r="B36" s="66" t="s">
        <v>61</v>
      </c>
      <c r="C36" s="66"/>
      <c r="D36" s="66"/>
      <c r="E36" s="66"/>
      <c r="F36" s="66"/>
      <c r="G36" s="66"/>
      <c r="H36" s="66"/>
      <c r="I36" s="66"/>
      <c r="J36" s="66"/>
      <c r="K36" s="39"/>
    </row>
    <row r="37" spans="2:11">
      <c r="B37" s="66" t="s">
        <v>62</v>
      </c>
      <c r="C37" s="66"/>
      <c r="D37" s="66"/>
      <c r="E37" s="66"/>
      <c r="F37" s="66"/>
      <c r="G37" s="66"/>
      <c r="H37" s="66"/>
      <c r="I37" s="66"/>
      <c r="J37" s="66"/>
      <c r="K37" s="39"/>
    </row>
    <row r="38" spans="2:11">
      <c r="B38" s="66" t="s">
        <v>63</v>
      </c>
      <c r="C38" s="66"/>
      <c r="D38" s="66"/>
      <c r="E38" s="66"/>
      <c r="F38" s="66"/>
      <c r="G38" s="66"/>
      <c r="H38" s="66"/>
      <c r="I38" s="66"/>
      <c r="J38" s="66"/>
      <c r="K38" s="39"/>
    </row>
    <row r="39" spans="2:11">
      <c r="B39" s="66" t="s">
        <v>64</v>
      </c>
      <c r="C39" s="66"/>
      <c r="D39" s="66"/>
      <c r="E39" s="66"/>
      <c r="F39" s="66"/>
      <c r="G39" s="66"/>
      <c r="H39" s="66"/>
      <c r="I39" s="66"/>
      <c r="J39" s="66"/>
      <c r="K39" s="39"/>
    </row>
    <row r="40" spans="2:11">
      <c r="B40" s="66" t="s">
        <v>65</v>
      </c>
      <c r="C40" s="66"/>
      <c r="D40" s="66"/>
      <c r="E40" s="66"/>
      <c r="F40" s="66"/>
      <c r="G40" s="66"/>
      <c r="H40" s="66"/>
      <c r="I40" s="66"/>
      <c r="J40" s="66"/>
      <c r="K40" s="39"/>
    </row>
    <row r="41" spans="2:11">
      <c r="B41" s="66" t="s">
        <v>66</v>
      </c>
      <c r="C41" s="66"/>
      <c r="D41" s="66"/>
      <c r="E41" s="66"/>
      <c r="F41" s="66"/>
      <c r="G41" s="66"/>
      <c r="H41" s="66"/>
      <c r="I41" s="66"/>
      <c r="J41" s="66"/>
      <c r="K41" s="39"/>
    </row>
    <row r="42" spans="2:11">
      <c r="B42" s="66" t="s">
        <v>67</v>
      </c>
      <c r="C42" s="66"/>
      <c r="D42" s="66"/>
      <c r="E42" s="66"/>
      <c r="F42" s="66"/>
      <c r="G42" s="66"/>
      <c r="H42" s="66"/>
      <c r="I42" s="66"/>
      <c r="J42" s="66"/>
      <c r="K42" s="39"/>
    </row>
  </sheetData>
  <mergeCells count="37">
    <mergeCell ref="B40:J40"/>
    <mergeCell ref="B41:J41"/>
    <mergeCell ref="B42:J42"/>
    <mergeCell ref="C18:C19"/>
    <mergeCell ref="B34:J34"/>
    <mergeCell ref="B35:J35"/>
    <mergeCell ref="B36:J36"/>
    <mergeCell ref="B37:J37"/>
    <mergeCell ref="B38:J38"/>
    <mergeCell ref="B39:J39"/>
    <mergeCell ref="B28:J28"/>
    <mergeCell ref="B29:J29"/>
    <mergeCell ref="B30:J30"/>
    <mergeCell ref="B31:J31"/>
    <mergeCell ref="B32:J32"/>
    <mergeCell ref="B33:J33"/>
    <mergeCell ref="B27:J27"/>
    <mergeCell ref="B15:B20"/>
    <mergeCell ref="C15:C17"/>
    <mergeCell ref="B21:J21"/>
    <mergeCell ref="H7:H8"/>
    <mergeCell ref="I7:J7"/>
    <mergeCell ref="B9:B14"/>
    <mergeCell ref="C9:C11"/>
    <mergeCell ref="C12:C13"/>
    <mergeCell ref="B22:J22"/>
    <mergeCell ref="B23:J23"/>
    <mergeCell ref="B24:J24"/>
    <mergeCell ref="B25:J25"/>
    <mergeCell ref="B26:J26"/>
    <mergeCell ref="B4:J4"/>
    <mergeCell ref="B5:J5"/>
    <mergeCell ref="B6:D8"/>
    <mergeCell ref="E6:E8"/>
    <mergeCell ref="F6:J6"/>
    <mergeCell ref="F7:F8"/>
    <mergeCell ref="G7:G8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ABFC-3262-49C9-980F-4CF4506D8A7A}">
  <dimension ref="A1:L906"/>
  <sheetViews>
    <sheetView tabSelected="1" zoomScale="75" zoomScaleNormal="115" workbookViewId="0">
      <selection activeCell="H2" sqref="H2"/>
    </sheetView>
  </sheetViews>
  <sheetFormatPr defaultRowHeight="14.4"/>
  <cols>
    <col min="1" max="1" width="16.6640625" customWidth="1"/>
    <col min="3" max="3" width="15.88671875" customWidth="1"/>
    <col min="4" max="4" width="21.5546875" customWidth="1"/>
    <col min="5" max="5" width="27" customWidth="1"/>
    <col min="6" max="6" width="20.109375" customWidth="1"/>
    <col min="7" max="7" width="18" customWidth="1"/>
    <col min="8" max="8" width="24.6640625" customWidth="1"/>
    <col min="9" max="9" width="16.44140625" customWidth="1"/>
    <col min="10" max="10" width="14" customWidth="1"/>
    <col min="11" max="11" width="22.5546875" customWidth="1"/>
    <col min="12" max="12" width="24.109375" customWidth="1"/>
  </cols>
  <sheetData>
    <row r="1" spans="1:12" s="38" customFormat="1" ht="33" customHeight="1" thickBot="1">
      <c r="A1" s="9" t="s">
        <v>17</v>
      </c>
      <c r="B1" s="10" t="s">
        <v>18</v>
      </c>
      <c r="C1" s="10" t="s">
        <v>19</v>
      </c>
      <c r="D1" s="11" t="s">
        <v>26</v>
      </c>
      <c r="E1" s="11" t="s">
        <v>20</v>
      </c>
      <c r="F1" s="12" t="s">
        <v>21</v>
      </c>
      <c r="G1" s="12" t="s">
        <v>22</v>
      </c>
      <c r="H1" s="12" t="s">
        <v>126</v>
      </c>
      <c r="I1" s="12" t="s">
        <v>24</v>
      </c>
      <c r="J1" s="13" t="s">
        <v>128</v>
      </c>
      <c r="K1" s="14" t="s">
        <v>25</v>
      </c>
      <c r="L1" s="14" t="s">
        <v>127</v>
      </c>
    </row>
    <row r="2" spans="1:12" ht="15" thickBot="1">
      <c r="A2" s="15">
        <v>0</v>
      </c>
      <c r="B2" s="16">
        <v>30</v>
      </c>
      <c r="C2" s="16">
        <v>2</v>
      </c>
      <c r="D2" s="16">
        <v>92.419030000000006</v>
      </c>
      <c r="E2" s="16">
        <v>13.074619999999999</v>
      </c>
      <c r="F2" s="16">
        <v>3</v>
      </c>
      <c r="G2" s="17">
        <f t="shared" ref="G2:G33" si="0">D2/(0.785*(F2*F2))</f>
        <v>13.081249823071479</v>
      </c>
      <c r="H2" s="17">
        <v>14.725009999999999</v>
      </c>
      <c r="I2" s="17">
        <v>3.4869999999999998E-2</v>
      </c>
      <c r="J2" s="18">
        <f t="shared" ref="J2:J33" si="1">D2/F2</f>
        <v>30.806343333333334</v>
      </c>
      <c r="K2" s="18">
        <f t="shared" ref="K2:K33" si="2">J2/I2</f>
        <v>883.46267087276556</v>
      </c>
      <c r="L2">
        <f>(E2/H2)</f>
        <v>0.88791926117537445</v>
      </c>
    </row>
    <row r="3" spans="1:12" ht="15" thickBot="1">
      <c r="A3" s="15">
        <v>0</v>
      </c>
      <c r="B3" s="16">
        <v>30</v>
      </c>
      <c r="C3" s="16">
        <v>1</v>
      </c>
      <c r="D3" s="16">
        <v>70.930899999999994</v>
      </c>
      <c r="E3" s="16">
        <v>10.03467</v>
      </c>
      <c r="F3" s="16">
        <v>3</v>
      </c>
      <c r="G3" s="17">
        <f t="shared" si="0"/>
        <v>10.039759377211604</v>
      </c>
      <c r="H3" s="17">
        <v>19.75</v>
      </c>
      <c r="I3" s="17">
        <v>4.3290000000000002E-2</v>
      </c>
      <c r="J3" s="18">
        <f t="shared" si="1"/>
        <v>23.64363333333333</v>
      </c>
      <c r="K3" s="18">
        <f t="shared" si="2"/>
        <v>546.1684761684761</v>
      </c>
      <c r="L3">
        <f t="shared" ref="L3:L66" si="3">(E3/H3)</f>
        <v>0.50808455696202537</v>
      </c>
    </row>
    <row r="4" spans="1:12" ht="15" thickBot="1">
      <c r="A4" s="15">
        <v>0</v>
      </c>
      <c r="B4" s="16">
        <v>30</v>
      </c>
      <c r="C4" s="16">
        <v>3</v>
      </c>
      <c r="D4" s="16">
        <v>96.780150000000006</v>
      </c>
      <c r="E4" s="16">
        <v>13.69159</v>
      </c>
      <c r="F4" s="16">
        <v>3</v>
      </c>
      <c r="G4" s="17">
        <f t="shared" si="0"/>
        <v>13.698535031847134</v>
      </c>
      <c r="H4" s="17">
        <v>23.200060000000001</v>
      </c>
      <c r="I4" s="17">
        <v>3.1579999999999997E-2</v>
      </c>
      <c r="J4" s="18">
        <f t="shared" si="1"/>
        <v>32.26005</v>
      </c>
      <c r="K4" s="18">
        <f t="shared" si="2"/>
        <v>1021.534198860038</v>
      </c>
      <c r="L4">
        <f t="shared" si="3"/>
        <v>0.59015321512099539</v>
      </c>
    </row>
    <row r="5" spans="1:12" ht="15" thickBot="1">
      <c r="A5" s="19">
        <v>0</v>
      </c>
      <c r="B5" s="20">
        <v>60</v>
      </c>
      <c r="C5" s="20">
        <v>3</v>
      </c>
      <c r="D5" s="20">
        <v>75.972110000000001</v>
      </c>
      <c r="E5" s="20">
        <v>10.747859999999999</v>
      </c>
      <c r="F5" s="20">
        <v>3</v>
      </c>
      <c r="G5" s="17">
        <f t="shared" si="0"/>
        <v>10.753306440198159</v>
      </c>
      <c r="H5" s="17">
        <v>14.82508</v>
      </c>
      <c r="I5" s="21">
        <v>3.3950000000000001E-2</v>
      </c>
      <c r="J5" s="18">
        <f t="shared" si="1"/>
        <v>25.324036666666668</v>
      </c>
      <c r="K5" s="18">
        <f t="shared" si="2"/>
        <v>745.92155130093272</v>
      </c>
      <c r="L5">
        <f t="shared" si="3"/>
        <v>0.72497821259649187</v>
      </c>
    </row>
    <row r="6" spans="1:12" ht="15" thickBot="1">
      <c r="A6" s="19">
        <v>0</v>
      </c>
      <c r="B6" s="20">
        <v>60</v>
      </c>
      <c r="C6" s="20">
        <v>2</v>
      </c>
      <c r="D6" s="20">
        <v>64.394019999999998</v>
      </c>
      <c r="E6" s="20">
        <v>9.10989</v>
      </c>
      <c r="F6" s="20">
        <v>3</v>
      </c>
      <c r="G6" s="17">
        <f t="shared" si="0"/>
        <v>9.1145109695682933</v>
      </c>
      <c r="H6" s="17">
        <v>22.025069999999999</v>
      </c>
      <c r="I6" s="21">
        <v>3.6179999999999997E-2</v>
      </c>
      <c r="J6" s="18">
        <f t="shared" si="1"/>
        <v>21.464673333333334</v>
      </c>
      <c r="K6" s="18">
        <f t="shared" si="2"/>
        <v>593.27455316012538</v>
      </c>
      <c r="L6">
        <f t="shared" si="3"/>
        <v>0.41361457648034716</v>
      </c>
    </row>
    <row r="7" spans="1:12" ht="15" thickBot="1">
      <c r="A7" s="19">
        <v>0</v>
      </c>
      <c r="B7" s="20">
        <v>60</v>
      </c>
      <c r="C7" s="20">
        <v>1</v>
      </c>
      <c r="D7" s="20">
        <v>97.566429999999997</v>
      </c>
      <c r="E7" s="20">
        <v>13.80283</v>
      </c>
      <c r="F7" s="20">
        <v>3</v>
      </c>
      <c r="G7" s="17">
        <f t="shared" si="0"/>
        <v>13.809827317763622</v>
      </c>
      <c r="H7" s="17">
        <v>27.449929999999998</v>
      </c>
      <c r="I7" s="21">
        <v>4.0259999999999997E-2</v>
      </c>
      <c r="J7" s="18">
        <f t="shared" si="1"/>
        <v>32.522143333333332</v>
      </c>
      <c r="K7" s="18">
        <f t="shared" si="2"/>
        <v>807.80286471270085</v>
      </c>
      <c r="L7">
        <f t="shared" si="3"/>
        <v>0.50283661925549539</v>
      </c>
    </row>
    <row r="8" spans="1:12" ht="15" thickBot="1">
      <c r="A8" s="22">
        <v>0</v>
      </c>
      <c r="B8" s="23">
        <v>90</v>
      </c>
      <c r="C8" s="23">
        <v>1</v>
      </c>
      <c r="D8" s="23">
        <v>51.95487</v>
      </c>
      <c r="E8" s="23">
        <v>7.3501099999999999</v>
      </c>
      <c r="F8" s="23">
        <v>3</v>
      </c>
      <c r="G8" s="17">
        <f t="shared" si="0"/>
        <v>7.3538386411889594</v>
      </c>
      <c r="H8" s="17">
        <v>21.02506</v>
      </c>
      <c r="I8" s="24">
        <v>2.9600000000000001E-2</v>
      </c>
      <c r="J8" s="18">
        <f t="shared" si="1"/>
        <v>17.318290000000001</v>
      </c>
      <c r="K8" s="18">
        <f t="shared" si="2"/>
        <v>585.07736486486488</v>
      </c>
      <c r="L8">
        <f t="shared" si="3"/>
        <v>0.34958806300671674</v>
      </c>
    </row>
    <row r="9" spans="1:12" ht="15" thickBot="1">
      <c r="A9" s="22">
        <v>0</v>
      </c>
      <c r="B9" s="23">
        <v>90</v>
      </c>
      <c r="C9" s="23">
        <v>3</v>
      </c>
      <c r="D9" s="23">
        <v>40.066560000000003</v>
      </c>
      <c r="E9" s="23">
        <v>5.6682600000000001</v>
      </c>
      <c r="F9" s="23">
        <v>3</v>
      </c>
      <c r="G9" s="17">
        <f t="shared" si="0"/>
        <v>5.6711337579617833</v>
      </c>
      <c r="H9" s="17">
        <v>25.400020000000001</v>
      </c>
      <c r="I9" s="24">
        <v>3.1320000000000001E-2</v>
      </c>
      <c r="J9" s="18">
        <f t="shared" si="1"/>
        <v>13.35552</v>
      </c>
      <c r="K9" s="18">
        <f t="shared" si="2"/>
        <v>426.42145593869731</v>
      </c>
      <c r="L9">
        <f t="shared" si="3"/>
        <v>0.22315966680341195</v>
      </c>
    </row>
    <row r="10" spans="1:12" ht="15" thickBot="1">
      <c r="A10" s="22">
        <v>0</v>
      </c>
      <c r="B10" s="23">
        <v>90</v>
      </c>
      <c r="C10" s="23">
        <v>2</v>
      </c>
      <c r="D10" s="23">
        <v>47.361150000000002</v>
      </c>
      <c r="E10" s="23">
        <v>6.7002300000000004</v>
      </c>
      <c r="F10" s="23">
        <v>3</v>
      </c>
      <c r="G10" s="17">
        <f t="shared" si="0"/>
        <v>6.7036305732484074</v>
      </c>
      <c r="H10" s="17">
        <v>25.52495</v>
      </c>
      <c r="I10" s="24">
        <v>6.368E-2</v>
      </c>
      <c r="J10" s="18">
        <f t="shared" si="1"/>
        <v>15.787050000000001</v>
      </c>
      <c r="K10" s="18">
        <f t="shared" si="2"/>
        <v>247.91221733668343</v>
      </c>
      <c r="L10">
        <f t="shared" si="3"/>
        <v>0.26249728207107165</v>
      </c>
    </row>
    <row r="11" spans="1:12" ht="15" thickBot="1">
      <c r="A11" s="25">
        <v>0</v>
      </c>
      <c r="B11" s="26">
        <v>120</v>
      </c>
      <c r="C11" s="26">
        <v>3</v>
      </c>
      <c r="D11" s="26">
        <v>55.42174</v>
      </c>
      <c r="E11" s="26">
        <v>7.8405699999999996</v>
      </c>
      <c r="F11" s="26">
        <v>3</v>
      </c>
      <c r="G11" s="17">
        <f t="shared" si="0"/>
        <v>7.8445491861288037</v>
      </c>
      <c r="H11" s="17">
        <v>12.07499</v>
      </c>
      <c r="I11" s="27">
        <v>0.02</v>
      </c>
      <c r="J11" s="18">
        <f t="shared" si="1"/>
        <v>18.473913333333332</v>
      </c>
      <c r="K11" s="18">
        <f t="shared" si="2"/>
        <v>923.69566666666663</v>
      </c>
      <c r="L11">
        <f t="shared" si="3"/>
        <v>0.64932310502948654</v>
      </c>
    </row>
    <row r="12" spans="1:12" ht="15" thickBot="1">
      <c r="A12" s="25">
        <v>0</v>
      </c>
      <c r="B12" s="26">
        <v>120</v>
      </c>
      <c r="C12" s="26">
        <v>1</v>
      </c>
      <c r="D12" s="26">
        <v>39.211939999999998</v>
      </c>
      <c r="E12" s="26">
        <v>5.5473600000000003</v>
      </c>
      <c r="F12" s="26">
        <v>3</v>
      </c>
      <c r="G12" s="17">
        <f t="shared" si="0"/>
        <v>5.5501684359518748</v>
      </c>
      <c r="H12" s="17">
        <v>15.97499</v>
      </c>
      <c r="I12" s="27">
        <v>2.053E-2</v>
      </c>
      <c r="J12" s="18">
        <f t="shared" si="1"/>
        <v>13.070646666666667</v>
      </c>
      <c r="K12" s="18">
        <f t="shared" si="2"/>
        <v>636.66082156194193</v>
      </c>
      <c r="L12">
        <f t="shared" si="3"/>
        <v>0.3472527995322689</v>
      </c>
    </row>
    <row r="13" spans="1:12" ht="15" thickBot="1">
      <c r="A13" s="25">
        <v>0</v>
      </c>
      <c r="B13" s="26">
        <v>120</v>
      </c>
      <c r="C13" s="26">
        <v>2</v>
      </c>
      <c r="D13" s="26">
        <v>63.793390000000002</v>
      </c>
      <c r="E13" s="26">
        <v>9.0249199999999998</v>
      </c>
      <c r="F13" s="26">
        <v>3</v>
      </c>
      <c r="G13" s="17">
        <f t="shared" si="0"/>
        <v>9.0294961075725411</v>
      </c>
      <c r="H13" s="17">
        <v>24.02506</v>
      </c>
      <c r="I13" s="27">
        <v>2.6710000000000001E-2</v>
      </c>
      <c r="J13" s="18">
        <f t="shared" si="1"/>
        <v>21.264463333333335</v>
      </c>
      <c r="K13" s="18">
        <f t="shared" si="2"/>
        <v>796.12367402970176</v>
      </c>
      <c r="L13">
        <f t="shared" si="3"/>
        <v>0.37564609620121658</v>
      </c>
    </row>
    <row r="14" spans="1:12" ht="15" thickBot="1">
      <c r="A14" s="28">
        <v>0</v>
      </c>
      <c r="B14" s="29">
        <v>150</v>
      </c>
      <c r="C14" s="29">
        <v>3</v>
      </c>
      <c r="D14" s="29">
        <v>35.203719999999997</v>
      </c>
      <c r="E14" s="29">
        <v>4.9803100000000002</v>
      </c>
      <c r="F14" s="29">
        <v>3</v>
      </c>
      <c r="G14" s="17">
        <f t="shared" si="0"/>
        <v>4.9828336871903742</v>
      </c>
      <c r="H14" s="17">
        <v>9.57498</v>
      </c>
      <c r="I14" s="30">
        <v>2.1180000000000001E-2</v>
      </c>
      <c r="J14" s="18">
        <f t="shared" si="1"/>
        <v>11.734573333333332</v>
      </c>
      <c r="K14" s="18">
        <f t="shared" si="2"/>
        <v>554.04028958136598</v>
      </c>
      <c r="L14">
        <f t="shared" si="3"/>
        <v>0.52013790107133384</v>
      </c>
    </row>
    <row r="15" spans="1:12" ht="15" thickBot="1">
      <c r="A15" s="28">
        <v>0</v>
      </c>
      <c r="B15" s="29">
        <v>150</v>
      </c>
      <c r="C15" s="29">
        <v>2</v>
      </c>
      <c r="D15" s="29">
        <v>30.055510000000002</v>
      </c>
      <c r="E15" s="29">
        <v>4.2519799999999996</v>
      </c>
      <c r="F15" s="29">
        <v>3</v>
      </c>
      <c r="G15" s="17">
        <f t="shared" si="0"/>
        <v>4.2541415428167024</v>
      </c>
      <c r="H15" s="17">
        <v>10.57494</v>
      </c>
      <c r="I15" s="30">
        <v>2.4080000000000001E-2</v>
      </c>
      <c r="J15" s="18">
        <f t="shared" si="1"/>
        <v>10.018503333333333</v>
      </c>
      <c r="K15" s="18">
        <f t="shared" si="2"/>
        <v>416.05080287929121</v>
      </c>
      <c r="L15">
        <f t="shared" si="3"/>
        <v>0.40208076830695966</v>
      </c>
    </row>
    <row r="16" spans="1:12" ht="15" thickBot="1">
      <c r="A16" s="28">
        <v>0</v>
      </c>
      <c r="B16" s="29">
        <v>150</v>
      </c>
      <c r="C16" s="29">
        <v>1</v>
      </c>
      <c r="D16" s="29">
        <v>46.324269999999999</v>
      </c>
      <c r="E16" s="29">
        <v>6.5535399999999999</v>
      </c>
      <c r="F16" s="29">
        <v>3</v>
      </c>
      <c r="G16" s="17">
        <f t="shared" si="0"/>
        <v>6.5568676574663831</v>
      </c>
      <c r="H16" s="17">
        <v>19.89995</v>
      </c>
      <c r="I16" s="30">
        <v>4.6580000000000003E-2</v>
      </c>
      <c r="J16" s="18">
        <f t="shared" si="1"/>
        <v>15.441423333333333</v>
      </c>
      <c r="K16" s="18">
        <f t="shared" si="2"/>
        <v>331.50329182767996</v>
      </c>
      <c r="L16">
        <f t="shared" si="3"/>
        <v>0.32932444553880785</v>
      </c>
    </row>
    <row r="17" spans="1:12" ht="15" thickBot="1">
      <c r="A17" s="31">
        <v>0</v>
      </c>
      <c r="B17" s="32">
        <v>180</v>
      </c>
      <c r="C17" s="32">
        <v>2</v>
      </c>
      <c r="D17" s="32">
        <v>27.73742</v>
      </c>
      <c r="E17" s="32">
        <v>3.9240400000000002</v>
      </c>
      <c r="F17" s="32">
        <v>3</v>
      </c>
      <c r="G17" s="17">
        <f t="shared" si="0"/>
        <v>3.9260325548478412</v>
      </c>
      <c r="H17" s="17">
        <v>6</v>
      </c>
      <c r="I17" s="33">
        <v>2.0389999999999998E-2</v>
      </c>
      <c r="J17" s="18">
        <f t="shared" si="1"/>
        <v>9.2458066666666667</v>
      </c>
      <c r="K17" s="18">
        <f t="shared" si="2"/>
        <v>453.44809547163646</v>
      </c>
      <c r="L17">
        <f t="shared" si="3"/>
        <v>0.65400666666666674</v>
      </c>
    </row>
    <row r="18" spans="1:12" ht="15" thickBot="1">
      <c r="A18" s="31">
        <v>0</v>
      </c>
      <c r="B18" s="32">
        <v>180</v>
      </c>
      <c r="C18" s="32">
        <v>1</v>
      </c>
      <c r="D18" s="32">
        <v>11.57436</v>
      </c>
      <c r="E18" s="32">
        <v>1.63744</v>
      </c>
      <c r="F18" s="32">
        <v>3</v>
      </c>
      <c r="G18" s="17">
        <f t="shared" si="0"/>
        <v>1.6382675159235669</v>
      </c>
      <c r="H18" s="17">
        <v>6.8500699999999997</v>
      </c>
      <c r="I18" s="33">
        <v>2.461E-2</v>
      </c>
      <c r="J18" s="18">
        <f t="shared" si="1"/>
        <v>3.85812</v>
      </c>
      <c r="K18" s="18">
        <f t="shared" si="2"/>
        <v>156.77041852905322</v>
      </c>
      <c r="L18">
        <f t="shared" si="3"/>
        <v>0.23903989302299103</v>
      </c>
    </row>
    <row r="19" spans="1:12" ht="15" thickBot="1">
      <c r="A19" s="31">
        <v>0</v>
      </c>
      <c r="B19" s="32">
        <v>180</v>
      </c>
      <c r="C19" s="32">
        <v>3</v>
      </c>
      <c r="D19" s="32">
        <v>37.367800000000003</v>
      </c>
      <c r="E19" s="32">
        <v>5.2864599999999999</v>
      </c>
      <c r="F19" s="32">
        <v>3</v>
      </c>
      <c r="G19" s="17">
        <f t="shared" si="0"/>
        <v>5.289143665958953</v>
      </c>
      <c r="H19" s="55">
        <v>10.75001</v>
      </c>
      <c r="I19" s="33">
        <v>3.6839999999999998E-2</v>
      </c>
      <c r="J19" s="18">
        <f t="shared" si="1"/>
        <v>12.455933333333334</v>
      </c>
      <c r="K19" s="18">
        <f t="shared" si="2"/>
        <v>338.10893955845103</v>
      </c>
      <c r="L19">
        <f t="shared" si="3"/>
        <v>0.491763263476034</v>
      </c>
    </row>
    <row r="20" spans="1:12" ht="15" thickBot="1">
      <c r="A20" s="15">
        <v>0.03</v>
      </c>
      <c r="B20" s="16">
        <v>30</v>
      </c>
      <c r="C20" s="16">
        <v>2</v>
      </c>
      <c r="D20" s="16">
        <v>62.290770000000002</v>
      </c>
      <c r="E20" s="16">
        <v>8.8123400000000007</v>
      </c>
      <c r="F20" s="16">
        <v>3</v>
      </c>
      <c r="G20" s="17">
        <f t="shared" si="0"/>
        <v>8.8168110403397026</v>
      </c>
      <c r="H20" s="17">
        <v>3.3000500000000001</v>
      </c>
      <c r="I20" s="17">
        <v>1.737E-2</v>
      </c>
      <c r="J20" s="18">
        <f t="shared" si="1"/>
        <v>20.763590000000001</v>
      </c>
      <c r="K20" s="18">
        <f t="shared" si="2"/>
        <v>1195.3707541738629</v>
      </c>
      <c r="L20">
        <f t="shared" si="3"/>
        <v>2.6703656005212042</v>
      </c>
    </row>
    <row r="21" spans="1:12" ht="15" thickBot="1">
      <c r="A21" s="15">
        <v>0.03</v>
      </c>
      <c r="B21" s="16">
        <v>30</v>
      </c>
      <c r="C21" s="16">
        <v>3</v>
      </c>
      <c r="D21" s="16">
        <v>69.843050000000005</v>
      </c>
      <c r="E21" s="16">
        <v>9.8807700000000001</v>
      </c>
      <c r="F21" s="16">
        <v>3</v>
      </c>
      <c r="G21" s="17">
        <f t="shared" si="0"/>
        <v>9.8857820240622782</v>
      </c>
      <c r="H21" s="17">
        <v>6.5251000000000001</v>
      </c>
      <c r="I21" s="17">
        <v>3.4340000000000002E-2</v>
      </c>
      <c r="J21" s="18">
        <f t="shared" si="1"/>
        <v>23.28101666666667</v>
      </c>
      <c r="K21" s="18">
        <f t="shared" si="2"/>
        <v>677.95622209279759</v>
      </c>
      <c r="L21">
        <f t="shared" si="3"/>
        <v>1.5142710456544728</v>
      </c>
    </row>
    <row r="22" spans="1:12" ht="15" thickBot="1">
      <c r="A22" s="15">
        <v>0.03</v>
      </c>
      <c r="B22" s="16">
        <v>30</v>
      </c>
      <c r="C22" s="16">
        <v>1</v>
      </c>
      <c r="D22" s="16">
        <v>58.495660000000001</v>
      </c>
      <c r="E22" s="16">
        <v>8.2754399999999997</v>
      </c>
      <c r="F22" s="16">
        <v>3</v>
      </c>
      <c r="G22" s="17">
        <f t="shared" si="0"/>
        <v>8.2796404812455773</v>
      </c>
      <c r="H22" s="17">
        <v>8.3999900000000007</v>
      </c>
      <c r="I22" s="17">
        <v>4.4209999999999999E-2</v>
      </c>
      <c r="J22" s="18">
        <f t="shared" si="1"/>
        <v>19.498553333333334</v>
      </c>
      <c r="K22" s="18">
        <f t="shared" si="2"/>
        <v>441.04395687250246</v>
      </c>
      <c r="L22">
        <f t="shared" si="3"/>
        <v>0.98517260139595397</v>
      </c>
    </row>
    <row r="23" spans="1:12" ht="15" thickBot="1">
      <c r="A23" s="19">
        <v>0.03</v>
      </c>
      <c r="B23" s="20">
        <v>60</v>
      </c>
      <c r="C23" s="20">
        <v>2</v>
      </c>
      <c r="D23" s="20">
        <v>32.764960000000002</v>
      </c>
      <c r="E23" s="20">
        <v>4.6352900000000004</v>
      </c>
      <c r="F23" s="20">
        <v>3</v>
      </c>
      <c r="G23" s="17">
        <f t="shared" si="0"/>
        <v>4.6376447275300778</v>
      </c>
      <c r="H23" s="17">
        <v>5.0999999999999996</v>
      </c>
      <c r="I23" s="21">
        <v>2.6839999999999999E-2</v>
      </c>
      <c r="J23" s="18">
        <f t="shared" si="1"/>
        <v>10.921653333333333</v>
      </c>
      <c r="K23" s="18">
        <f t="shared" si="2"/>
        <v>406.9170392449081</v>
      </c>
      <c r="L23">
        <f t="shared" si="3"/>
        <v>0.90888039215686289</v>
      </c>
    </row>
    <row r="24" spans="1:12" ht="15" thickBot="1">
      <c r="A24" s="19">
        <v>0.03</v>
      </c>
      <c r="B24" s="20">
        <v>60</v>
      </c>
      <c r="C24" s="20">
        <v>1</v>
      </c>
      <c r="D24" s="20">
        <v>40.620190000000001</v>
      </c>
      <c r="E24" s="20">
        <v>5.7465799999999998</v>
      </c>
      <c r="F24" s="20">
        <v>3</v>
      </c>
      <c r="G24" s="17">
        <f t="shared" si="0"/>
        <v>5.7494961075725408</v>
      </c>
      <c r="H24" s="17">
        <v>9.8500099999999993</v>
      </c>
      <c r="I24" s="21">
        <v>5.1839999999999997E-2</v>
      </c>
      <c r="J24" s="18">
        <f t="shared" si="1"/>
        <v>13.540063333333334</v>
      </c>
      <c r="K24" s="18">
        <f t="shared" si="2"/>
        <v>261.18949331275724</v>
      </c>
      <c r="L24">
        <f t="shared" si="3"/>
        <v>0.58340854476289872</v>
      </c>
    </row>
    <row r="25" spans="1:12" ht="15" thickBot="1">
      <c r="A25" s="19">
        <v>0.03</v>
      </c>
      <c r="B25" s="20">
        <v>60</v>
      </c>
      <c r="C25" s="20">
        <v>3</v>
      </c>
      <c r="D25" s="20">
        <v>37.244819999999997</v>
      </c>
      <c r="E25" s="20">
        <v>5.2690599999999996</v>
      </c>
      <c r="F25" s="20">
        <v>3</v>
      </c>
      <c r="G25" s="17">
        <f t="shared" si="0"/>
        <v>5.2717367303609333</v>
      </c>
      <c r="H25" s="17">
        <v>11.350009999999999</v>
      </c>
      <c r="I25" s="21">
        <v>5.9740000000000001E-2</v>
      </c>
      <c r="J25" s="18">
        <f t="shared" si="1"/>
        <v>12.41494</v>
      </c>
      <c r="K25" s="18">
        <f t="shared" si="2"/>
        <v>207.81620354871106</v>
      </c>
      <c r="L25">
        <f t="shared" si="3"/>
        <v>0.46423395221678221</v>
      </c>
    </row>
    <row r="26" spans="1:12" ht="15" thickBot="1">
      <c r="A26" s="22">
        <v>0.03</v>
      </c>
      <c r="B26" s="23">
        <v>90</v>
      </c>
      <c r="C26" s="23">
        <v>2</v>
      </c>
      <c r="D26" s="23">
        <v>31.623139999999999</v>
      </c>
      <c r="E26" s="23">
        <v>4.4737600000000004</v>
      </c>
      <c r="F26" s="23">
        <v>3</v>
      </c>
      <c r="G26" s="17">
        <f t="shared" si="0"/>
        <v>4.4760283085633397</v>
      </c>
      <c r="H26" s="17">
        <v>6.1750100000000003</v>
      </c>
      <c r="I26" s="24">
        <v>3.2500000000000001E-2</v>
      </c>
      <c r="J26" s="18">
        <f t="shared" si="1"/>
        <v>10.541046666666666</v>
      </c>
      <c r="K26" s="18">
        <f t="shared" si="2"/>
        <v>324.3398974358974</v>
      </c>
      <c r="L26">
        <f t="shared" si="3"/>
        <v>0.72449437328846433</v>
      </c>
    </row>
    <row r="27" spans="1:12" ht="15" thickBot="1">
      <c r="A27" s="22">
        <v>0.03</v>
      </c>
      <c r="B27" s="23">
        <v>90</v>
      </c>
      <c r="C27" s="23">
        <v>3</v>
      </c>
      <c r="D27" s="23">
        <v>56.634160000000001</v>
      </c>
      <c r="E27" s="23">
        <v>8.0120900000000006</v>
      </c>
      <c r="F27" s="23">
        <v>3</v>
      </c>
      <c r="G27" s="17">
        <f t="shared" si="0"/>
        <v>8.0161585279547065</v>
      </c>
      <c r="H27" s="17">
        <v>6.6499800000000002</v>
      </c>
      <c r="I27" s="24">
        <v>3.5000000000000003E-2</v>
      </c>
      <c r="J27" s="18">
        <f t="shared" si="1"/>
        <v>18.878053333333334</v>
      </c>
      <c r="K27" s="18">
        <f t="shared" si="2"/>
        <v>539.37295238095237</v>
      </c>
      <c r="L27">
        <f t="shared" si="3"/>
        <v>1.2048291874562029</v>
      </c>
    </row>
    <row r="28" spans="1:12" ht="15" thickBot="1">
      <c r="A28" s="22">
        <v>0.03</v>
      </c>
      <c r="B28" s="23">
        <v>90</v>
      </c>
      <c r="C28" s="23">
        <v>1</v>
      </c>
      <c r="D28" s="23">
        <v>32.334910000000001</v>
      </c>
      <c r="E28" s="23">
        <v>4.5744499999999997</v>
      </c>
      <c r="F28" s="23">
        <v>3</v>
      </c>
      <c r="G28" s="17">
        <f t="shared" si="0"/>
        <v>4.57677423920736</v>
      </c>
      <c r="H28" s="17">
        <v>11.69994</v>
      </c>
      <c r="I28" s="24">
        <v>6.1580000000000003E-2</v>
      </c>
      <c r="J28" s="18">
        <f t="shared" si="1"/>
        <v>10.778303333333334</v>
      </c>
      <c r="K28" s="18">
        <f t="shared" si="2"/>
        <v>175.02928439969688</v>
      </c>
      <c r="L28">
        <f t="shared" si="3"/>
        <v>0.39098063750754275</v>
      </c>
    </row>
    <row r="29" spans="1:12" ht="15" thickBot="1">
      <c r="A29" s="25">
        <v>0.03</v>
      </c>
      <c r="B29" s="26">
        <v>120</v>
      </c>
      <c r="C29" s="26">
        <v>1</v>
      </c>
      <c r="D29" s="26">
        <v>16.54485</v>
      </c>
      <c r="E29" s="26">
        <v>2.3406199999999999</v>
      </c>
      <c r="F29" s="26">
        <v>3</v>
      </c>
      <c r="G29" s="17">
        <f t="shared" si="0"/>
        <v>2.3418046709129512</v>
      </c>
      <c r="H29" s="17">
        <v>10.09998</v>
      </c>
      <c r="I29" s="27">
        <v>5.3159999999999999E-2</v>
      </c>
      <c r="J29" s="18">
        <f t="shared" si="1"/>
        <v>5.5149499999999998</v>
      </c>
      <c r="K29" s="18">
        <f t="shared" si="2"/>
        <v>103.74247554552295</v>
      </c>
      <c r="L29">
        <f t="shared" si="3"/>
        <v>0.23174501335646208</v>
      </c>
    </row>
    <row r="30" spans="1:12" ht="15" thickBot="1">
      <c r="A30" s="25">
        <v>0.03</v>
      </c>
      <c r="B30" s="26">
        <v>120</v>
      </c>
      <c r="C30" s="26">
        <v>3</v>
      </c>
      <c r="D30" s="26">
        <v>23.925719999999998</v>
      </c>
      <c r="E30" s="26">
        <v>3.3847999999999998</v>
      </c>
      <c r="F30" s="26">
        <v>3</v>
      </c>
      <c r="G30" s="17">
        <f t="shared" si="0"/>
        <v>3.3865138004246282</v>
      </c>
      <c r="H30" s="17">
        <v>18.875019999999999</v>
      </c>
      <c r="I30" s="27">
        <v>9.9339999999999998E-2</v>
      </c>
      <c r="J30" s="18">
        <f t="shared" si="1"/>
        <v>7.9752399999999994</v>
      </c>
      <c r="K30" s="18">
        <f t="shared" si="2"/>
        <v>80.282262935373467</v>
      </c>
      <c r="L30">
        <f t="shared" si="3"/>
        <v>0.17932696230255649</v>
      </c>
    </row>
    <row r="31" spans="1:12" ht="15" thickBot="1">
      <c r="A31" s="25">
        <v>0.03</v>
      </c>
      <c r="B31" s="26">
        <v>120</v>
      </c>
      <c r="C31" s="26">
        <v>2</v>
      </c>
      <c r="D31" s="26">
        <v>16.631550000000001</v>
      </c>
      <c r="E31" s="26">
        <v>2.3528799999999999</v>
      </c>
      <c r="F31" s="26">
        <v>3</v>
      </c>
      <c r="G31" s="17">
        <f t="shared" si="0"/>
        <v>2.3540764331210191</v>
      </c>
      <c r="H31" s="17">
        <v>24.625</v>
      </c>
      <c r="I31" s="27">
        <v>0.12961</v>
      </c>
      <c r="J31" s="18">
        <f t="shared" si="1"/>
        <v>5.5438499999999999</v>
      </c>
      <c r="K31" s="18">
        <f t="shared" si="2"/>
        <v>42.773319959879636</v>
      </c>
      <c r="L31">
        <f t="shared" si="3"/>
        <v>9.5548426395939079E-2</v>
      </c>
    </row>
    <row r="32" spans="1:12" ht="15" thickBot="1">
      <c r="A32" s="28">
        <v>0.03</v>
      </c>
      <c r="B32" s="29">
        <v>150</v>
      </c>
      <c r="C32" s="29">
        <v>1</v>
      </c>
      <c r="D32" s="29">
        <v>20.927600000000002</v>
      </c>
      <c r="E32" s="29">
        <v>2.9606499999999998</v>
      </c>
      <c r="F32" s="29">
        <v>3</v>
      </c>
      <c r="G32" s="17">
        <f t="shared" si="0"/>
        <v>2.9621514508138711</v>
      </c>
      <c r="H32" s="17">
        <v>1.34995</v>
      </c>
      <c r="I32" s="30">
        <v>7.1000000000000004E-3</v>
      </c>
      <c r="J32" s="18">
        <f t="shared" si="1"/>
        <v>6.9758666666666675</v>
      </c>
      <c r="K32" s="18">
        <f t="shared" si="2"/>
        <v>982.51643192488268</v>
      </c>
      <c r="L32">
        <f t="shared" si="3"/>
        <v>2.1931553020482237</v>
      </c>
    </row>
    <row r="33" spans="1:12" ht="15" thickBot="1">
      <c r="A33" s="28">
        <v>0.03</v>
      </c>
      <c r="B33" s="29">
        <v>150</v>
      </c>
      <c r="C33" s="29">
        <v>2</v>
      </c>
      <c r="D33" s="29">
        <v>24.351099999999999</v>
      </c>
      <c r="E33" s="29">
        <v>3.4449800000000002</v>
      </c>
      <c r="F33" s="29">
        <v>3</v>
      </c>
      <c r="G33" s="17">
        <f t="shared" si="0"/>
        <v>3.446723283793347</v>
      </c>
      <c r="H33" s="17">
        <v>6.0749399999999998</v>
      </c>
      <c r="I33" s="30">
        <v>3.1969999999999998E-2</v>
      </c>
      <c r="J33" s="18">
        <f t="shared" si="1"/>
        <v>8.1170333333333335</v>
      </c>
      <c r="K33" s="18">
        <f t="shared" si="2"/>
        <v>253.89531852778649</v>
      </c>
      <c r="L33">
        <f t="shared" si="3"/>
        <v>0.56708049791438275</v>
      </c>
    </row>
    <row r="34" spans="1:12" ht="15" thickBot="1">
      <c r="A34" s="28">
        <v>0.03</v>
      </c>
      <c r="B34" s="29">
        <v>150</v>
      </c>
      <c r="C34" s="29">
        <v>3</v>
      </c>
      <c r="D34" s="29">
        <v>8.7045899999999996</v>
      </c>
      <c r="E34" s="29">
        <v>1.2314499999999999</v>
      </c>
      <c r="F34" s="29">
        <v>3</v>
      </c>
      <c r="G34" s="17">
        <f t="shared" ref="G34:G65" si="4">D34/(0.785*(F34*F34))</f>
        <v>1.2320721868365179</v>
      </c>
      <c r="H34" s="17">
        <v>26.69998</v>
      </c>
      <c r="I34" s="30">
        <v>0.14052999999999999</v>
      </c>
      <c r="J34" s="18">
        <f t="shared" ref="J34:J65" si="5">D34/F34</f>
        <v>2.9015299999999997</v>
      </c>
      <c r="K34" s="18">
        <f t="shared" ref="K34:K65" si="6">J34/I34</f>
        <v>20.647050451860814</v>
      </c>
      <c r="L34">
        <f t="shared" si="3"/>
        <v>4.6121757394574824E-2</v>
      </c>
    </row>
    <row r="35" spans="1:12" ht="15" thickBot="1">
      <c r="A35" s="31">
        <v>0.03</v>
      </c>
      <c r="B35" s="32">
        <v>180</v>
      </c>
      <c r="C35" s="32">
        <v>2</v>
      </c>
      <c r="D35" s="32">
        <v>7.3221299999999996</v>
      </c>
      <c r="E35" s="32">
        <v>1.0358700000000001</v>
      </c>
      <c r="F35" s="32">
        <v>3</v>
      </c>
      <c r="G35" s="17">
        <f t="shared" si="4"/>
        <v>1.0363949044585987</v>
      </c>
      <c r="H35" s="17">
        <v>7.9750100000000002</v>
      </c>
      <c r="I35" s="33">
        <v>4.197E-2</v>
      </c>
      <c r="J35" s="18">
        <f t="shared" si="5"/>
        <v>2.4407099999999997</v>
      </c>
      <c r="K35" s="18">
        <f t="shared" si="6"/>
        <v>58.153681200857747</v>
      </c>
      <c r="L35">
        <f t="shared" si="3"/>
        <v>0.12988949230157706</v>
      </c>
    </row>
    <row r="36" spans="1:12" ht="15" thickBot="1">
      <c r="A36" s="31">
        <v>0.03</v>
      </c>
      <c r="B36" s="32">
        <v>180</v>
      </c>
      <c r="C36" s="32">
        <v>1</v>
      </c>
      <c r="D36" s="32">
        <v>8.5499700000000001</v>
      </c>
      <c r="E36" s="32">
        <v>1.20957</v>
      </c>
      <c r="F36" s="32">
        <v>3</v>
      </c>
      <c r="G36" s="17">
        <f t="shared" si="4"/>
        <v>1.2101868365180466</v>
      </c>
      <c r="H36" s="17">
        <v>9.3500300000000003</v>
      </c>
      <c r="I36" s="33">
        <v>4.9209999999999997E-2</v>
      </c>
      <c r="J36" s="18">
        <f t="shared" si="5"/>
        <v>2.84999</v>
      </c>
      <c r="K36" s="18">
        <f t="shared" si="6"/>
        <v>57.914854704328391</v>
      </c>
      <c r="L36">
        <f t="shared" si="3"/>
        <v>0.12936536032504709</v>
      </c>
    </row>
    <row r="37" spans="1:12" ht="15" thickBot="1">
      <c r="A37" s="31">
        <v>0.03</v>
      </c>
      <c r="B37" s="32">
        <v>180</v>
      </c>
      <c r="C37" s="32">
        <v>3</v>
      </c>
      <c r="D37" s="32">
        <v>26.622150000000001</v>
      </c>
      <c r="E37" s="32">
        <v>3.7662599999999999</v>
      </c>
      <c r="F37" s="32">
        <v>3</v>
      </c>
      <c r="G37" s="17">
        <f t="shared" si="4"/>
        <v>3.7681740976645437</v>
      </c>
      <c r="H37" s="17">
        <v>10.375069999999999</v>
      </c>
      <c r="I37" s="33">
        <v>5.4609999999999999E-2</v>
      </c>
      <c r="J37" s="18">
        <f t="shared" si="5"/>
        <v>8.8740500000000004</v>
      </c>
      <c r="K37" s="18">
        <f t="shared" si="6"/>
        <v>162.49862662516023</v>
      </c>
      <c r="L37">
        <f t="shared" si="3"/>
        <v>0.36301056282029909</v>
      </c>
    </row>
    <row r="38" spans="1:12" ht="15" thickBot="1">
      <c r="A38" s="15">
        <v>0.06</v>
      </c>
      <c r="B38" s="16">
        <v>30</v>
      </c>
      <c r="C38" s="16">
        <v>1</v>
      </c>
      <c r="D38" s="16">
        <v>37.699480000000001</v>
      </c>
      <c r="E38" s="16">
        <v>5.33338</v>
      </c>
      <c r="F38" s="16">
        <v>3</v>
      </c>
      <c r="G38" s="17">
        <f t="shared" si="4"/>
        <v>5.3360905874026896</v>
      </c>
      <c r="H38" s="17">
        <v>9.8000299999999996</v>
      </c>
      <c r="I38" s="17">
        <v>5.1580000000000001E-2</v>
      </c>
      <c r="J38" s="18">
        <f t="shared" si="5"/>
        <v>12.566493333333334</v>
      </c>
      <c r="K38" s="18">
        <f t="shared" si="6"/>
        <v>243.63112317435699</v>
      </c>
      <c r="L38">
        <f t="shared" si="3"/>
        <v>0.54422078299760313</v>
      </c>
    </row>
    <row r="39" spans="1:12" ht="15" thickBot="1">
      <c r="A39" s="15">
        <v>0.06</v>
      </c>
      <c r="B39" s="16">
        <v>30</v>
      </c>
      <c r="C39" s="16">
        <v>3</v>
      </c>
      <c r="D39" s="16">
        <v>25.63195</v>
      </c>
      <c r="E39" s="16">
        <v>3.6261800000000002</v>
      </c>
      <c r="F39" s="16">
        <v>3</v>
      </c>
      <c r="G39" s="17">
        <f t="shared" si="4"/>
        <v>3.6280184005661709</v>
      </c>
      <c r="H39" s="17">
        <v>11.374969999999999</v>
      </c>
      <c r="I39" s="17">
        <v>5.987E-2</v>
      </c>
      <c r="J39" s="18">
        <f t="shared" si="5"/>
        <v>8.5439833333333333</v>
      </c>
      <c r="K39" s="18">
        <f t="shared" si="6"/>
        <v>142.70892489282335</v>
      </c>
      <c r="L39">
        <f t="shared" si="3"/>
        <v>0.31878589569906562</v>
      </c>
    </row>
    <row r="40" spans="1:12" ht="15" thickBot="1">
      <c r="A40" s="15">
        <v>0.06</v>
      </c>
      <c r="B40" s="16">
        <v>30</v>
      </c>
      <c r="C40" s="16">
        <v>2</v>
      </c>
      <c r="D40" s="16">
        <v>40.030389999999997</v>
      </c>
      <c r="E40" s="16">
        <v>5.6631400000000003</v>
      </c>
      <c r="F40" s="16">
        <v>3</v>
      </c>
      <c r="G40" s="17">
        <f t="shared" si="4"/>
        <v>5.6660141542816698</v>
      </c>
      <c r="H40" s="17">
        <v>12.325010000000001</v>
      </c>
      <c r="I40" s="17">
        <v>6.4869999999999997E-2</v>
      </c>
      <c r="J40" s="18">
        <f t="shared" si="5"/>
        <v>13.343463333333332</v>
      </c>
      <c r="K40" s="18">
        <f t="shared" si="6"/>
        <v>205.69544216638405</v>
      </c>
      <c r="L40">
        <f t="shared" si="3"/>
        <v>0.45948360285306056</v>
      </c>
    </row>
    <row r="41" spans="1:12" ht="15" thickBot="1">
      <c r="A41" s="19">
        <v>0.06</v>
      </c>
      <c r="B41" s="20">
        <v>60</v>
      </c>
      <c r="C41" s="20">
        <v>1</v>
      </c>
      <c r="D41" s="20">
        <v>27.69528</v>
      </c>
      <c r="E41" s="20">
        <v>3.9180799999999998</v>
      </c>
      <c r="F41" s="20">
        <v>3</v>
      </c>
      <c r="G41" s="17">
        <f t="shared" si="4"/>
        <v>3.9200679405520167</v>
      </c>
      <c r="H41" s="17">
        <v>12.04997</v>
      </c>
      <c r="I41" s="21">
        <v>6.3420000000000004E-2</v>
      </c>
      <c r="J41" s="18">
        <f t="shared" si="5"/>
        <v>9.2317599999999995</v>
      </c>
      <c r="K41" s="18">
        <f t="shared" si="6"/>
        <v>145.56543677073478</v>
      </c>
      <c r="L41">
        <f t="shared" si="3"/>
        <v>0.32515267672865572</v>
      </c>
    </row>
    <row r="42" spans="1:12" ht="15" thickBot="1">
      <c r="A42" s="19">
        <v>0.06</v>
      </c>
      <c r="B42" s="20">
        <v>60</v>
      </c>
      <c r="C42" s="20">
        <v>2</v>
      </c>
      <c r="D42" s="20">
        <v>71.781750000000002</v>
      </c>
      <c r="E42" s="20">
        <v>10.15504</v>
      </c>
      <c r="F42" s="20">
        <v>3</v>
      </c>
      <c r="G42" s="17">
        <f t="shared" si="4"/>
        <v>10.160191082802548</v>
      </c>
      <c r="H42" s="17">
        <v>13.27505</v>
      </c>
      <c r="I42" s="21">
        <v>6.9870000000000002E-2</v>
      </c>
      <c r="J42" s="18">
        <f t="shared" si="5"/>
        <v>23.927250000000001</v>
      </c>
      <c r="K42" s="18">
        <f t="shared" si="6"/>
        <v>342.45384285100903</v>
      </c>
      <c r="L42">
        <f t="shared" si="3"/>
        <v>0.76497188334507216</v>
      </c>
    </row>
    <row r="43" spans="1:12" ht="15" thickBot="1">
      <c r="A43" s="19">
        <v>0.06</v>
      </c>
      <c r="B43" s="20">
        <v>60</v>
      </c>
      <c r="C43" s="20">
        <v>3</v>
      </c>
      <c r="D43" s="20">
        <v>19.11722</v>
      </c>
      <c r="E43" s="20">
        <v>2.7045300000000001</v>
      </c>
      <c r="F43" s="20">
        <v>3</v>
      </c>
      <c r="G43" s="17">
        <f t="shared" si="4"/>
        <v>2.7059051663128093</v>
      </c>
      <c r="H43" s="17">
        <v>13.47503</v>
      </c>
      <c r="I43" s="21">
        <v>7.0919999999999997E-2</v>
      </c>
      <c r="J43" s="18">
        <f t="shared" si="5"/>
        <v>6.3724066666666666</v>
      </c>
      <c r="K43" s="18">
        <f t="shared" si="6"/>
        <v>89.853449896597112</v>
      </c>
      <c r="L43">
        <f t="shared" si="3"/>
        <v>0.20070678877894893</v>
      </c>
    </row>
    <row r="44" spans="1:12" ht="15" thickBot="1">
      <c r="A44" s="22">
        <v>0.06</v>
      </c>
      <c r="B44" s="23">
        <v>90</v>
      </c>
      <c r="C44" s="23">
        <v>2</v>
      </c>
      <c r="D44" s="23">
        <v>23.411729999999999</v>
      </c>
      <c r="E44" s="23">
        <v>5.5249300000000003</v>
      </c>
      <c r="F44" s="23">
        <v>3</v>
      </c>
      <c r="G44" s="17">
        <f t="shared" si="4"/>
        <v>3.3137622080679403</v>
      </c>
      <c r="H44" s="17">
        <v>5.5249300000000003</v>
      </c>
      <c r="I44" s="24">
        <v>2.9080000000000002E-2</v>
      </c>
      <c r="J44" s="18">
        <f t="shared" si="5"/>
        <v>7.8039099999999992</v>
      </c>
      <c r="K44" s="18">
        <f t="shared" si="6"/>
        <v>268.36004126547454</v>
      </c>
      <c r="L44">
        <f t="shared" si="3"/>
        <v>1</v>
      </c>
    </row>
    <row r="45" spans="1:12" ht="15" thickBot="1">
      <c r="A45" s="22">
        <v>0.06</v>
      </c>
      <c r="B45" s="23">
        <v>90</v>
      </c>
      <c r="C45" s="23">
        <v>1</v>
      </c>
      <c r="D45" s="23">
        <v>46.723080000000003</v>
      </c>
      <c r="E45" s="23">
        <v>6.6099600000000001</v>
      </c>
      <c r="F45" s="23">
        <v>3</v>
      </c>
      <c r="G45" s="17">
        <f t="shared" si="4"/>
        <v>6.6133163481953288</v>
      </c>
      <c r="H45" s="17">
        <v>6.0000499999999999</v>
      </c>
      <c r="I45" s="24">
        <v>3.1579999999999997E-2</v>
      </c>
      <c r="J45" s="18">
        <f t="shared" si="5"/>
        <v>15.57436</v>
      </c>
      <c r="K45" s="18">
        <f t="shared" si="6"/>
        <v>493.17162761241298</v>
      </c>
      <c r="L45">
        <f t="shared" si="3"/>
        <v>1.1016508195765036</v>
      </c>
    </row>
    <row r="46" spans="1:12" ht="15" thickBot="1">
      <c r="A46" s="22">
        <v>0.06</v>
      </c>
      <c r="B46" s="23">
        <v>90</v>
      </c>
      <c r="C46" s="23">
        <v>3</v>
      </c>
      <c r="D46" s="23">
        <v>37.835590000000003</v>
      </c>
      <c r="E46" s="23">
        <v>5.3526400000000001</v>
      </c>
      <c r="F46" s="23">
        <v>3</v>
      </c>
      <c r="G46" s="17">
        <f t="shared" si="4"/>
        <v>5.3553559801840063</v>
      </c>
      <c r="H46" s="17">
        <v>13.999969999999999</v>
      </c>
      <c r="I46" s="24">
        <v>7.3679999999999995E-2</v>
      </c>
      <c r="J46" s="18">
        <f t="shared" si="5"/>
        <v>12.611863333333334</v>
      </c>
      <c r="K46" s="18">
        <f t="shared" si="6"/>
        <v>171.17078356858488</v>
      </c>
      <c r="L46">
        <f t="shared" si="3"/>
        <v>0.38233224785481684</v>
      </c>
    </row>
    <row r="47" spans="1:12" ht="15" thickBot="1">
      <c r="A47" s="25">
        <v>0.06</v>
      </c>
      <c r="B47" s="26">
        <v>120</v>
      </c>
      <c r="C47" s="26">
        <v>2</v>
      </c>
      <c r="D47" s="26">
        <v>9.2431300000000007</v>
      </c>
      <c r="E47" s="26">
        <v>1.3076399999999999</v>
      </c>
      <c r="F47" s="26">
        <v>3</v>
      </c>
      <c r="G47" s="17">
        <f t="shared" si="4"/>
        <v>1.3082986553432414</v>
      </c>
      <c r="H47" s="17">
        <v>5.6499600000000001</v>
      </c>
      <c r="I47" s="27">
        <v>2.9739999999999999E-2</v>
      </c>
      <c r="J47" s="18">
        <f t="shared" si="5"/>
        <v>3.0810433333333336</v>
      </c>
      <c r="K47" s="18">
        <f t="shared" si="6"/>
        <v>103.59930508854518</v>
      </c>
      <c r="L47">
        <f t="shared" si="3"/>
        <v>0.23144234649448844</v>
      </c>
    </row>
    <row r="48" spans="1:12" ht="15" thickBot="1">
      <c r="A48" s="25">
        <v>0.06</v>
      </c>
      <c r="B48" s="26">
        <v>120</v>
      </c>
      <c r="C48" s="26">
        <v>3</v>
      </c>
      <c r="D48" s="26">
        <v>12.18235</v>
      </c>
      <c r="E48" s="26">
        <v>1.7234499999999999</v>
      </c>
      <c r="F48" s="26">
        <v>3</v>
      </c>
      <c r="G48" s="17">
        <f t="shared" si="4"/>
        <v>1.7243241330502475</v>
      </c>
      <c r="H48" s="17">
        <v>8.7500300000000006</v>
      </c>
      <c r="I48" s="27">
        <v>4.6050000000000001E-2</v>
      </c>
      <c r="J48" s="18">
        <f t="shared" si="5"/>
        <v>4.0607833333333332</v>
      </c>
      <c r="K48" s="18">
        <f t="shared" si="6"/>
        <v>88.182048498009408</v>
      </c>
      <c r="L48">
        <f t="shared" si="3"/>
        <v>0.1969650389770092</v>
      </c>
    </row>
    <row r="49" spans="1:12" ht="15" thickBot="1">
      <c r="A49" s="25">
        <v>0.06</v>
      </c>
      <c r="B49" s="26">
        <v>120</v>
      </c>
      <c r="C49" s="26">
        <v>1</v>
      </c>
      <c r="D49" s="26">
        <v>44.054789999999997</v>
      </c>
      <c r="E49" s="26">
        <v>6.2324799999999998</v>
      </c>
      <c r="F49" s="26">
        <v>3</v>
      </c>
      <c r="G49" s="17">
        <f t="shared" si="4"/>
        <v>6.2356390658174092</v>
      </c>
      <c r="H49" s="17">
        <v>10.47503</v>
      </c>
      <c r="I49" s="27">
        <v>5.5129999999999998E-2</v>
      </c>
      <c r="J49" s="18">
        <f t="shared" si="5"/>
        <v>14.68493</v>
      </c>
      <c r="K49" s="18">
        <f t="shared" si="6"/>
        <v>266.36912751677852</v>
      </c>
      <c r="L49">
        <f t="shared" si="3"/>
        <v>0.59498445350514506</v>
      </c>
    </row>
    <row r="50" spans="1:12" ht="15" thickBot="1">
      <c r="A50" s="28">
        <v>0.06</v>
      </c>
      <c r="B50" s="29">
        <v>150</v>
      </c>
      <c r="C50" s="29">
        <v>2</v>
      </c>
      <c r="D50" s="29">
        <v>4.5483599999999997</v>
      </c>
      <c r="E50" s="29">
        <v>0.64346000000000003</v>
      </c>
      <c r="F50" s="29">
        <v>3</v>
      </c>
      <c r="G50" s="17">
        <f t="shared" si="4"/>
        <v>0.64378768577494683</v>
      </c>
      <c r="H50" s="17">
        <v>9.7499400000000005</v>
      </c>
      <c r="I50" s="30">
        <v>5.1319999999999998E-2</v>
      </c>
      <c r="J50" s="18">
        <f t="shared" si="5"/>
        <v>1.5161199999999999</v>
      </c>
      <c r="K50" s="18">
        <f t="shared" si="6"/>
        <v>29.542478565861263</v>
      </c>
      <c r="L50">
        <f t="shared" si="3"/>
        <v>6.5996303566996303E-2</v>
      </c>
    </row>
    <row r="51" spans="1:12" ht="15" thickBot="1">
      <c r="A51" s="28">
        <v>0.06</v>
      </c>
      <c r="B51" s="29">
        <v>150</v>
      </c>
      <c r="C51" s="29">
        <v>1</v>
      </c>
      <c r="D51" s="29">
        <v>13.470980000000001</v>
      </c>
      <c r="E51" s="29">
        <v>1.9057500000000001</v>
      </c>
      <c r="F51" s="29">
        <v>3</v>
      </c>
      <c r="G51" s="17">
        <f t="shared" si="4"/>
        <v>1.9067204529370134</v>
      </c>
      <c r="H51" s="17">
        <v>17.025040000000001</v>
      </c>
      <c r="I51" s="30">
        <v>8.9609999999999995E-2</v>
      </c>
      <c r="J51" s="18">
        <f t="shared" si="5"/>
        <v>4.4903266666666672</v>
      </c>
      <c r="K51" s="18">
        <f t="shared" si="6"/>
        <v>50.109660380165913</v>
      </c>
      <c r="L51">
        <f t="shared" si="3"/>
        <v>0.11193806299427196</v>
      </c>
    </row>
    <row r="52" spans="1:12" ht="15" thickBot="1">
      <c r="A52" s="28">
        <v>0.06</v>
      </c>
      <c r="B52" s="29">
        <v>150</v>
      </c>
      <c r="C52" s="29">
        <v>3</v>
      </c>
      <c r="D52" s="29">
        <v>29.734190000000002</v>
      </c>
      <c r="E52" s="29">
        <v>4.2065299999999999</v>
      </c>
      <c r="F52" s="29">
        <v>3</v>
      </c>
      <c r="G52" s="17">
        <f t="shared" si="4"/>
        <v>4.2086610049539983</v>
      </c>
      <c r="H52" s="17">
        <v>21.500019999999999</v>
      </c>
      <c r="I52" s="30">
        <v>0.11316</v>
      </c>
      <c r="J52" s="18">
        <f t="shared" si="5"/>
        <v>9.9113966666666666</v>
      </c>
      <c r="K52" s="18">
        <f t="shared" si="6"/>
        <v>87.58745728761636</v>
      </c>
      <c r="L52">
        <f t="shared" si="3"/>
        <v>0.19565237613732453</v>
      </c>
    </row>
    <row r="53" spans="1:12" ht="15" thickBot="1">
      <c r="A53" s="31">
        <v>0.06</v>
      </c>
      <c r="B53" s="32">
        <v>180</v>
      </c>
      <c r="C53" s="32">
        <v>2</v>
      </c>
      <c r="D53" s="32">
        <v>2.9255499999999999</v>
      </c>
      <c r="E53" s="32">
        <v>0.41388000000000003</v>
      </c>
      <c r="F53" s="32">
        <v>3</v>
      </c>
      <c r="G53" s="17">
        <f t="shared" si="4"/>
        <v>0.41409058740268928</v>
      </c>
      <c r="H53" s="17">
        <v>5.9749800000000004</v>
      </c>
      <c r="I53" s="33">
        <v>3.1449999999999999E-2</v>
      </c>
      <c r="J53" s="18">
        <f t="shared" si="5"/>
        <v>0.97518333333333329</v>
      </c>
      <c r="K53" s="18">
        <f t="shared" si="6"/>
        <v>31.007419183889773</v>
      </c>
      <c r="L53">
        <f t="shared" si="3"/>
        <v>6.9268851109125049E-2</v>
      </c>
    </row>
    <row r="54" spans="1:12" ht="15" thickBot="1">
      <c r="A54" s="31">
        <v>0.06</v>
      </c>
      <c r="B54" s="32">
        <v>180</v>
      </c>
      <c r="C54" s="32">
        <v>3</v>
      </c>
      <c r="D54" s="32">
        <v>4.6531099999999999</v>
      </c>
      <c r="E54" s="32">
        <v>0.65827999999999998</v>
      </c>
      <c r="F54" s="32">
        <v>3</v>
      </c>
      <c r="G54" s="17">
        <f t="shared" si="4"/>
        <v>0.65861429582448683</v>
      </c>
      <c r="H54" s="17">
        <v>8.2250300000000003</v>
      </c>
      <c r="I54" s="33">
        <v>4.3290000000000002E-2</v>
      </c>
      <c r="J54" s="18">
        <f t="shared" si="5"/>
        <v>1.5510366666666666</v>
      </c>
      <c r="K54" s="18">
        <f t="shared" si="6"/>
        <v>35.828982828982824</v>
      </c>
      <c r="L54">
        <f t="shared" si="3"/>
        <v>8.0033750636775786E-2</v>
      </c>
    </row>
    <row r="55" spans="1:12" ht="15" thickBot="1">
      <c r="A55" s="31">
        <v>0.06</v>
      </c>
      <c r="B55" s="32">
        <v>180</v>
      </c>
      <c r="C55" s="32">
        <v>1</v>
      </c>
      <c r="D55" s="32">
        <v>6.2206999999999999</v>
      </c>
      <c r="E55" s="32">
        <v>0.88005</v>
      </c>
      <c r="F55" s="32">
        <v>3</v>
      </c>
      <c r="G55" s="17">
        <f t="shared" si="4"/>
        <v>0.88049539985845715</v>
      </c>
      <c r="H55" s="17">
        <v>12.22494</v>
      </c>
      <c r="I55" s="33">
        <v>6.4339999999999994E-2</v>
      </c>
      <c r="J55" s="18">
        <f t="shared" si="5"/>
        <v>2.0735666666666668</v>
      </c>
      <c r="K55" s="18">
        <f t="shared" si="6"/>
        <v>32.228266500880743</v>
      </c>
      <c r="L55">
        <f t="shared" si="3"/>
        <v>7.1988083377096335E-2</v>
      </c>
    </row>
    <row r="56" spans="1:12" ht="15" thickBot="1">
      <c r="A56" s="15">
        <v>0.09</v>
      </c>
      <c r="B56" s="16">
        <v>30</v>
      </c>
      <c r="C56" s="16">
        <v>3</v>
      </c>
      <c r="D56" s="16">
        <v>28.838570000000001</v>
      </c>
      <c r="E56" s="16">
        <v>4.0798199999999998</v>
      </c>
      <c r="F56" s="16">
        <v>3</v>
      </c>
      <c r="G56" s="17">
        <f t="shared" si="4"/>
        <v>4.081892427459306</v>
      </c>
      <c r="H56" s="17">
        <v>6.62507</v>
      </c>
      <c r="I56" s="17">
        <v>7.7499999999999999E-2</v>
      </c>
      <c r="J56" s="18">
        <f t="shared" si="5"/>
        <v>9.6128566666666675</v>
      </c>
      <c r="K56" s="18">
        <f t="shared" si="6"/>
        <v>124.03686021505378</v>
      </c>
      <c r="L56">
        <f t="shared" si="3"/>
        <v>0.61581538006390868</v>
      </c>
    </row>
    <row r="57" spans="1:12" ht="15" thickBot="1">
      <c r="A57" s="15">
        <v>0.09</v>
      </c>
      <c r="B57" s="16">
        <v>30</v>
      </c>
      <c r="C57" s="16">
        <v>2</v>
      </c>
      <c r="D57" s="16">
        <v>33.592529999999996</v>
      </c>
      <c r="E57" s="16">
        <v>4.75237</v>
      </c>
      <c r="F57" s="16">
        <v>3</v>
      </c>
      <c r="G57" s="17">
        <f t="shared" si="4"/>
        <v>4.7547813163481942</v>
      </c>
      <c r="H57" s="17">
        <v>8.2251399999999997</v>
      </c>
      <c r="I57" s="17">
        <v>0.10395</v>
      </c>
      <c r="J57" s="18">
        <f t="shared" si="5"/>
        <v>11.197509999999999</v>
      </c>
      <c r="K57" s="18">
        <f t="shared" si="6"/>
        <v>107.72015392015392</v>
      </c>
      <c r="L57">
        <f t="shared" si="3"/>
        <v>0.57778591002706337</v>
      </c>
    </row>
    <row r="58" spans="1:12" ht="15" thickBot="1">
      <c r="A58" s="15">
        <v>0.09</v>
      </c>
      <c r="B58" s="16">
        <v>30</v>
      </c>
      <c r="C58" s="16">
        <v>1</v>
      </c>
      <c r="D58" s="16">
        <v>19.892749999999999</v>
      </c>
      <c r="E58" s="16">
        <v>2.8142499999999999</v>
      </c>
      <c r="F58" s="16">
        <v>3</v>
      </c>
      <c r="G58" s="17">
        <f t="shared" si="4"/>
        <v>2.8156758669497521</v>
      </c>
      <c r="H58" s="17">
        <v>13.69159</v>
      </c>
      <c r="I58" s="17">
        <v>0.12211</v>
      </c>
      <c r="J58" s="18">
        <f t="shared" si="5"/>
        <v>6.6309166666666668</v>
      </c>
      <c r="K58" s="18">
        <f t="shared" si="6"/>
        <v>54.302814402314858</v>
      </c>
      <c r="L58">
        <f t="shared" si="3"/>
        <v>0.20554588619729339</v>
      </c>
    </row>
    <row r="59" spans="1:12" ht="15" thickBot="1">
      <c r="A59" s="19">
        <v>0.09</v>
      </c>
      <c r="B59" s="20">
        <v>60</v>
      </c>
      <c r="C59" s="20">
        <v>2</v>
      </c>
      <c r="D59" s="20">
        <v>33.157699999999998</v>
      </c>
      <c r="E59" s="20">
        <v>4.6908599999999998</v>
      </c>
      <c r="F59" s="20">
        <v>3</v>
      </c>
      <c r="G59" s="17">
        <f t="shared" si="4"/>
        <v>4.6932342533616414</v>
      </c>
      <c r="H59" s="17">
        <v>6.4499399999999998</v>
      </c>
      <c r="I59" s="21">
        <v>7.8030000000000002E-2</v>
      </c>
      <c r="J59" s="18">
        <f t="shared" si="5"/>
        <v>11.052566666666666</v>
      </c>
      <c r="K59" s="18">
        <f t="shared" si="6"/>
        <v>141.64509376735441</v>
      </c>
      <c r="L59">
        <f t="shared" si="3"/>
        <v>0.72727188159889855</v>
      </c>
    </row>
    <row r="60" spans="1:12" ht="15" thickBot="1">
      <c r="A60" s="19">
        <v>0.09</v>
      </c>
      <c r="B60" s="20">
        <v>60</v>
      </c>
      <c r="C60" s="20">
        <v>1</v>
      </c>
      <c r="D60" s="20">
        <v>30.068210000000001</v>
      </c>
      <c r="E60" s="20">
        <v>4.2537799999999999</v>
      </c>
      <c r="F60" s="20">
        <v>3</v>
      </c>
      <c r="G60" s="17">
        <f t="shared" si="4"/>
        <v>4.2559391365888182</v>
      </c>
      <c r="H60" s="17">
        <v>6.8749200000000004</v>
      </c>
      <c r="I60" s="21">
        <v>0.11592</v>
      </c>
      <c r="J60" s="18">
        <f t="shared" si="5"/>
        <v>10.022736666666667</v>
      </c>
      <c r="K60" s="18">
        <f t="shared" si="6"/>
        <v>86.462531631009895</v>
      </c>
      <c r="L60">
        <f t="shared" si="3"/>
        <v>0.61873883623373072</v>
      </c>
    </row>
    <row r="61" spans="1:12" ht="15" thickBot="1">
      <c r="A61" s="19">
        <v>0.09</v>
      </c>
      <c r="B61" s="20">
        <v>60</v>
      </c>
      <c r="C61" s="20">
        <v>3</v>
      </c>
      <c r="D61" s="20">
        <v>14.05306</v>
      </c>
      <c r="E61" s="20">
        <v>1.9881</v>
      </c>
      <c r="F61" s="20">
        <v>3</v>
      </c>
      <c r="G61" s="17">
        <f t="shared" si="4"/>
        <v>1.9891096956829439</v>
      </c>
      <c r="H61" s="17">
        <v>7.6500500000000002</v>
      </c>
      <c r="I61" s="21">
        <v>0.14446999999999999</v>
      </c>
      <c r="J61" s="18">
        <f t="shared" si="5"/>
        <v>4.6843533333333331</v>
      </c>
      <c r="K61" s="18">
        <f t="shared" si="6"/>
        <v>32.424401836598143</v>
      </c>
      <c r="L61">
        <f t="shared" si="3"/>
        <v>0.25988065437480801</v>
      </c>
    </row>
    <row r="62" spans="1:12" ht="15" thickBot="1">
      <c r="A62" s="22">
        <v>0.09</v>
      </c>
      <c r="B62" s="23">
        <v>90</v>
      </c>
      <c r="C62" s="23">
        <v>2</v>
      </c>
      <c r="D62" s="23">
        <v>22.7453</v>
      </c>
      <c r="E62" s="23">
        <v>3.2178</v>
      </c>
      <c r="F62" s="23">
        <v>3</v>
      </c>
      <c r="G62" s="17">
        <f t="shared" si="4"/>
        <v>3.2194338287331918</v>
      </c>
      <c r="H62" s="17">
        <v>5.6248899999999997</v>
      </c>
      <c r="I62" s="24">
        <v>0.11065999999999999</v>
      </c>
      <c r="J62" s="18">
        <f t="shared" si="5"/>
        <v>7.5817666666666668</v>
      </c>
      <c r="K62" s="18">
        <f t="shared" si="6"/>
        <v>68.514067112476653</v>
      </c>
      <c r="L62">
        <f t="shared" si="3"/>
        <v>0.57206452037284283</v>
      </c>
    </row>
    <row r="63" spans="1:12" ht="15" thickBot="1">
      <c r="A63" s="22">
        <v>0.09</v>
      </c>
      <c r="B63" s="23">
        <v>90</v>
      </c>
      <c r="C63" s="23">
        <v>1</v>
      </c>
      <c r="D63" s="23">
        <v>15.64635</v>
      </c>
      <c r="E63" s="23">
        <v>2.2135099999999999</v>
      </c>
      <c r="F63" s="23">
        <v>3</v>
      </c>
      <c r="G63" s="17">
        <f t="shared" si="4"/>
        <v>2.2146284501061571</v>
      </c>
      <c r="H63" s="17">
        <v>5.9500099999999998</v>
      </c>
      <c r="I63" s="24">
        <v>0.13367999999999999</v>
      </c>
      <c r="J63" s="18">
        <f t="shared" si="5"/>
        <v>5.2154499999999997</v>
      </c>
      <c r="K63" s="18">
        <f t="shared" si="6"/>
        <v>39.01443746259725</v>
      </c>
      <c r="L63">
        <f t="shared" si="3"/>
        <v>0.3720178621548535</v>
      </c>
    </row>
    <row r="64" spans="1:12" ht="15" thickBot="1">
      <c r="A64" s="22">
        <v>0.09</v>
      </c>
      <c r="B64" s="23">
        <v>90</v>
      </c>
      <c r="C64" s="23">
        <v>3</v>
      </c>
      <c r="D64" s="23">
        <v>19.179179999999999</v>
      </c>
      <c r="E64" s="23">
        <v>2.7132999999999998</v>
      </c>
      <c r="F64" s="23">
        <v>3</v>
      </c>
      <c r="G64" s="17">
        <f t="shared" si="4"/>
        <v>2.7146751592356684</v>
      </c>
      <c r="H64" s="17">
        <v>12.0999</v>
      </c>
      <c r="I64" s="24">
        <v>0.13433999999999999</v>
      </c>
      <c r="J64" s="18">
        <f t="shared" si="5"/>
        <v>6.3930599999999993</v>
      </c>
      <c r="K64" s="18">
        <f t="shared" si="6"/>
        <v>47.58865564984368</v>
      </c>
      <c r="L64">
        <f t="shared" si="3"/>
        <v>0.22424152265721203</v>
      </c>
    </row>
    <row r="65" spans="1:12" ht="15" thickBot="1">
      <c r="A65" s="25">
        <v>0.09</v>
      </c>
      <c r="B65" s="26">
        <v>120</v>
      </c>
      <c r="C65" s="26">
        <v>1</v>
      </c>
      <c r="D65" s="26">
        <v>10.10141</v>
      </c>
      <c r="E65" s="26">
        <v>1.42906</v>
      </c>
      <c r="F65" s="26">
        <v>3</v>
      </c>
      <c r="G65" s="17">
        <f t="shared" si="4"/>
        <v>1.4297820240622787</v>
      </c>
      <c r="H65" s="17">
        <v>3.7999800000000001</v>
      </c>
      <c r="I65" s="27">
        <v>6.3549999999999995E-2</v>
      </c>
      <c r="J65" s="18">
        <f t="shared" si="5"/>
        <v>3.3671366666666667</v>
      </c>
      <c r="K65" s="18">
        <f t="shared" si="6"/>
        <v>52.984054550222929</v>
      </c>
      <c r="L65">
        <f t="shared" si="3"/>
        <v>0.37607040037052825</v>
      </c>
    </row>
    <row r="66" spans="1:12" ht="15" thickBot="1">
      <c r="A66" s="25">
        <v>0.09</v>
      </c>
      <c r="B66" s="26">
        <v>120</v>
      </c>
      <c r="C66" s="26">
        <v>3</v>
      </c>
      <c r="D66" s="26">
        <v>13.77922</v>
      </c>
      <c r="E66" s="26">
        <v>1.94936</v>
      </c>
      <c r="F66" s="26">
        <v>3</v>
      </c>
      <c r="G66" s="17">
        <f t="shared" ref="G66:G97" si="7">D66/(0.785*(F66*F66))</f>
        <v>1.950349610757254</v>
      </c>
      <c r="H66" s="17">
        <v>3.9</v>
      </c>
      <c r="I66" s="27">
        <v>8.4080000000000002E-2</v>
      </c>
      <c r="J66" s="18">
        <f t="shared" ref="J66:J73" si="8">D66/F66</f>
        <v>4.5930733333333338</v>
      </c>
      <c r="K66" s="18">
        <f t="shared" ref="K66:K97" si="9">J66/I66</f>
        <v>54.627418331747549</v>
      </c>
      <c r="L66">
        <f t="shared" si="3"/>
        <v>0.49983589743589746</v>
      </c>
    </row>
    <row r="67" spans="1:12" ht="15" thickBot="1">
      <c r="A67" s="25">
        <v>0.09</v>
      </c>
      <c r="B67" s="26">
        <v>120</v>
      </c>
      <c r="C67" s="26">
        <v>2</v>
      </c>
      <c r="D67" s="26">
        <v>13.62693</v>
      </c>
      <c r="E67" s="26">
        <v>1.9278200000000001</v>
      </c>
      <c r="F67" s="26">
        <v>3</v>
      </c>
      <c r="G67" s="17">
        <f t="shared" si="7"/>
        <v>1.9287940552016984</v>
      </c>
      <c r="H67" s="17">
        <v>5.07498</v>
      </c>
      <c r="I67" s="27">
        <v>0.12645000000000001</v>
      </c>
      <c r="J67" s="18">
        <f t="shared" si="8"/>
        <v>4.5423099999999996</v>
      </c>
      <c r="K67" s="18">
        <f t="shared" si="9"/>
        <v>35.921787267694739</v>
      </c>
      <c r="L67">
        <f t="shared" ref="L67:L73" si="10">(E67/H67)</f>
        <v>0.37986750686702214</v>
      </c>
    </row>
    <row r="68" spans="1:12" ht="15" thickBot="1">
      <c r="A68" s="28">
        <v>0.09</v>
      </c>
      <c r="B68" s="29">
        <v>150</v>
      </c>
      <c r="C68" s="29">
        <v>3</v>
      </c>
      <c r="D68" s="29">
        <v>11.83196</v>
      </c>
      <c r="E68" s="29">
        <v>1.67388</v>
      </c>
      <c r="F68" s="29">
        <v>3</v>
      </c>
      <c r="G68" s="17">
        <f t="shared" si="7"/>
        <v>1.6747289455060155</v>
      </c>
      <c r="H68" s="17">
        <v>4.0250899999999996</v>
      </c>
      <c r="I68" s="30">
        <v>5.0389999999999997E-2</v>
      </c>
      <c r="J68" s="18">
        <f t="shared" si="8"/>
        <v>3.943986666666667</v>
      </c>
      <c r="K68" s="18">
        <f t="shared" si="9"/>
        <v>78.26923331348813</v>
      </c>
      <c r="L68">
        <f t="shared" si="10"/>
        <v>0.4158615086867623</v>
      </c>
    </row>
    <row r="69" spans="1:12" ht="15" thickBot="1">
      <c r="A69" s="28">
        <v>0.09</v>
      </c>
      <c r="B69" s="29">
        <v>150</v>
      </c>
      <c r="C69" s="29">
        <v>1</v>
      </c>
      <c r="D69" s="29">
        <v>6.8228200000000001</v>
      </c>
      <c r="E69" s="29">
        <v>0.96523000000000003</v>
      </c>
      <c r="F69" s="29">
        <v>3</v>
      </c>
      <c r="G69" s="17">
        <f t="shared" si="7"/>
        <v>0.96572116065109692</v>
      </c>
      <c r="H69" s="17">
        <v>4.5750000000000002</v>
      </c>
      <c r="I69" s="30">
        <v>5.5660000000000001E-2</v>
      </c>
      <c r="J69" s="18">
        <f t="shared" si="8"/>
        <v>2.2742733333333334</v>
      </c>
      <c r="K69" s="18">
        <f t="shared" si="9"/>
        <v>40.860103006348062</v>
      </c>
      <c r="L69">
        <f t="shared" si="10"/>
        <v>0.21097923497267759</v>
      </c>
    </row>
    <row r="70" spans="1:12" ht="15" thickBot="1">
      <c r="A70" s="28">
        <v>0.09</v>
      </c>
      <c r="B70" s="29">
        <v>150</v>
      </c>
      <c r="C70" s="29">
        <v>2</v>
      </c>
      <c r="D70" s="29">
        <v>19.09</v>
      </c>
      <c r="E70" s="29">
        <v>2.7006800000000002</v>
      </c>
      <c r="F70" s="29">
        <v>3</v>
      </c>
      <c r="G70" s="17">
        <f t="shared" si="7"/>
        <v>2.7020523708421798</v>
      </c>
      <c r="H70" s="17">
        <v>8.8500499999999995</v>
      </c>
      <c r="I70" s="30">
        <v>0.10474</v>
      </c>
      <c r="J70" s="18">
        <f t="shared" si="8"/>
        <v>6.3633333333333333</v>
      </c>
      <c r="K70" s="18">
        <f t="shared" si="9"/>
        <v>60.753612118897586</v>
      </c>
      <c r="L70">
        <f t="shared" si="10"/>
        <v>0.30515985785391048</v>
      </c>
    </row>
    <row r="71" spans="1:12" ht="15" thickBot="1">
      <c r="A71" s="31">
        <v>0.09</v>
      </c>
      <c r="B71" s="32">
        <v>180</v>
      </c>
      <c r="C71" s="32">
        <v>1</v>
      </c>
      <c r="D71" s="32">
        <v>5.6607599999999998</v>
      </c>
      <c r="E71" s="32">
        <v>0.80083000000000004</v>
      </c>
      <c r="F71" s="32">
        <v>3</v>
      </c>
      <c r="G71" s="17">
        <f t="shared" si="7"/>
        <v>0.80123991507430992</v>
      </c>
      <c r="H71" s="17">
        <v>3.8750300000000002</v>
      </c>
      <c r="I71" s="33">
        <v>3.1579999999999997E-2</v>
      </c>
      <c r="J71" s="18">
        <f t="shared" si="8"/>
        <v>1.8869199999999999</v>
      </c>
      <c r="K71" s="18">
        <f t="shared" si="9"/>
        <v>59.750474984167198</v>
      </c>
      <c r="L71">
        <f t="shared" si="10"/>
        <v>0.20666420647065958</v>
      </c>
    </row>
    <row r="72" spans="1:12" ht="15" thickBot="1">
      <c r="A72" s="31">
        <v>0.09</v>
      </c>
      <c r="B72" s="32">
        <v>180</v>
      </c>
      <c r="C72" s="32">
        <v>3</v>
      </c>
      <c r="D72" s="32">
        <v>2.2819799999999999</v>
      </c>
      <c r="E72" s="32">
        <v>0.32283000000000001</v>
      </c>
      <c r="F72" s="32">
        <v>3</v>
      </c>
      <c r="G72" s="17">
        <f t="shared" si="7"/>
        <v>0.32299787685774944</v>
      </c>
      <c r="H72" s="17">
        <v>4.6749599999999996</v>
      </c>
      <c r="I72" s="33">
        <v>3.6049999999999999E-2</v>
      </c>
      <c r="J72" s="18">
        <f t="shared" si="8"/>
        <v>0.76066</v>
      </c>
      <c r="K72" s="18">
        <f t="shared" si="9"/>
        <v>21.1001386962552</v>
      </c>
      <c r="L72">
        <f t="shared" si="10"/>
        <v>6.9055136300631453E-2</v>
      </c>
    </row>
    <row r="73" spans="1:12" ht="15" thickBot="1">
      <c r="A73" s="34">
        <v>0.09</v>
      </c>
      <c r="B73" s="35">
        <v>180</v>
      </c>
      <c r="C73" s="35">
        <v>2</v>
      </c>
      <c r="D73" s="35">
        <v>11.77718</v>
      </c>
      <c r="E73" s="35">
        <v>1.6661300000000001</v>
      </c>
      <c r="F73" s="35">
        <v>3</v>
      </c>
      <c r="G73" s="17">
        <f t="shared" si="7"/>
        <v>1.666975230007077</v>
      </c>
      <c r="H73" s="17">
        <v>7.0000099999999996</v>
      </c>
      <c r="I73" s="36">
        <v>5.6579999999999998E-2</v>
      </c>
      <c r="J73" s="18">
        <f t="shared" si="8"/>
        <v>3.9257266666666664</v>
      </c>
      <c r="K73" s="18">
        <f t="shared" si="9"/>
        <v>69.383645575586186</v>
      </c>
      <c r="L73">
        <f t="shared" si="10"/>
        <v>0.23801823140252659</v>
      </c>
    </row>
    <row r="74" spans="1:12" ht="15" thickBo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2" ht="15" thickBo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2" ht="15" thickBo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2" ht="15" thickBo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2" ht="15" thickBo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2" ht="15" thickBo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2" ht="15" thickBo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5" thickBo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5" thickBo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5" thickBo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5" thickBo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5" thickBo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5" thickBo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5" thickBo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5" thickBo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5" thickBo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5" thickBo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5" thickBo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5" thickBo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5" thickBo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5" thickBo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5" thickBo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5" thickBo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5" thickBo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5" thickBo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5" thickBo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5" thickBo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  <row r="101" spans="1:11" ht="15" thickBo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</row>
    <row r="102" spans="1:11" ht="15" thickBo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</row>
    <row r="103" spans="1:11" ht="15" thickBo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</row>
    <row r="104" spans="1:11" ht="15" thickBo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</row>
    <row r="105" spans="1:11" ht="15" thickBo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</row>
    <row r="106" spans="1:11" ht="15" thickBo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</row>
    <row r="107" spans="1:11" ht="15" thickBo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</row>
    <row r="108" spans="1:11" ht="15" thickBo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</row>
    <row r="109" spans="1:11" ht="15" thickBo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</row>
    <row r="110" spans="1:11" ht="15" thickBo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</row>
    <row r="111" spans="1:11" ht="15" thickBo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</row>
    <row r="112" spans="1:11" ht="15" thickBo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</row>
    <row r="113" spans="1:11" ht="15" thickBo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</row>
    <row r="114" spans="1:11" ht="15" thickBo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</row>
    <row r="115" spans="1:11" ht="15" thickBo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</row>
    <row r="116" spans="1:11" ht="15" thickBo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</row>
    <row r="117" spans="1:11" ht="15" thickBo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</row>
    <row r="118" spans="1:11" ht="15" thickBo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</row>
    <row r="119" spans="1:11" ht="15" thickBo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</row>
    <row r="120" spans="1:11" ht="15" thickBo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</row>
    <row r="121" spans="1:11" ht="15" thickBo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</row>
    <row r="122" spans="1:11" ht="15" thickBo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</row>
    <row r="123" spans="1:11" ht="15" thickBo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</row>
    <row r="124" spans="1:11" ht="15" thickBo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</row>
    <row r="125" spans="1:11" ht="15" thickBo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</row>
    <row r="126" spans="1:11" ht="15" thickBo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</row>
    <row r="127" spans="1:11" ht="15" thickBo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</row>
    <row r="128" spans="1:11" ht="15" thickBo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</row>
    <row r="129" spans="1:11" ht="15" thickBo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</row>
    <row r="130" spans="1:11" ht="15" thickBo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</row>
    <row r="131" spans="1:11" ht="15" thickBo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</row>
    <row r="132" spans="1:11" ht="15" thickBo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</row>
    <row r="133" spans="1:11" ht="15" thickBo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</row>
    <row r="134" spans="1:11" ht="15" thickBo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</row>
    <row r="135" spans="1:11" ht="15" thickBo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</row>
    <row r="136" spans="1:11" ht="15" thickBo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</row>
    <row r="137" spans="1:11" ht="15" thickBo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</row>
    <row r="138" spans="1:11" ht="15" thickBo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</row>
    <row r="139" spans="1:11" ht="15" thickBo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</row>
    <row r="140" spans="1:11" ht="15" thickBo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</row>
    <row r="141" spans="1:11" ht="15" thickBo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</row>
    <row r="142" spans="1:11" ht="15" thickBo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</row>
    <row r="143" spans="1:11" ht="15" thickBo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</row>
    <row r="144" spans="1:11" ht="15" thickBo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</row>
    <row r="145" spans="1:11" ht="15" thickBo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</row>
    <row r="146" spans="1:11" ht="15" thickBo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</row>
    <row r="147" spans="1:11" ht="15" thickBo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</row>
    <row r="148" spans="1:11" ht="15" thickBo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</row>
    <row r="149" spans="1:11" ht="15" thickBo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</row>
    <row r="150" spans="1:11" ht="15" thickBo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</row>
    <row r="151" spans="1:11" ht="15" thickBo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</row>
    <row r="152" spans="1:11" ht="15" thickBo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</row>
    <row r="153" spans="1:11" ht="15" thickBo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</row>
    <row r="154" spans="1:11" ht="15" thickBo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</row>
    <row r="155" spans="1:11" ht="15" thickBo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</row>
    <row r="156" spans="1:11" ht="15" thickBo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</row>
    <row r="157" spans="1:11" ht="15" thickBo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</row>
    <row r="158" spans="1:11" ht="15" thickBo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</row>
    <row r="159" spans="1:11" ht="15" thickBo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</row>
    <row r="160" spans="1:11" ht="15" thickBo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</row>
    <row r="161" spans="1:11" ht="15" thickBo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</row>
    <row r="162" spans="1:11" ht="15" thickBo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</row>
    <row r="163" spans="1:11" ht="15" thickBo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</row>
    <row r="164" spans="1:11" ht="15" thickBo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</row>
    <row r="165" spans="1:11" ht="15" thickBo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</row>
    <row r="166" spans="1:11" ht="15" thickBo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</row>
    <row r="167" spans="1:11" ht="15" thickBo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</row>
    <row r="168" spans="1:11" ht="15" thickBo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</row>
    <row r="169" spans="1:11" ht="15" thickBo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</row>
    <row r="170" spans="1:11" ht="15" thickBo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</row>
    <row r="171" spans="1:11" ht="15" thickBo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</row>
    <row r="172" spans="1:11" ht="15" thickBo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</row>
    <row r="173" spans="1:11" ht="15" thickBo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</row>
    <row r="174" spans="1:11" ht="15" thickBo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</row>
    <row r="175" spans="1:11" ht="15" thickBo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</row>
    <row r="176" spans="1:11" ht="15" thickBo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</row>
    <row r="177" spans="1:11" ht="15" thickBo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</row>
    <row r="178" spans="1:11" ht="15" thickBo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</row>
    <row r="179" spans="1:11" ht="15" thickBo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</row>
    <row r="180" spans="1:11" ht="15" thickBo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</row>
    <row r="181" spans="1:11" ht="15" thickBo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</row>
    <row r="182" spans="1:11" ht="15" thickBo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</row>
    <row r="183" spans="1:11" ht="15" thickBo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</row>
    <row r="184" spans="1:11" ht="15" thickBo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</row>
    <row r="185" spans="1:11" ht="15" thickBo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</row>
    <row r="186" spans="1:11" ht="15" thickBo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</row>
    <row r="187" spans="1:11" ht="15" thickBo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</row>
    <row r="188" spans="1:11" ht="15" thickBo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</row>
    <row r="189" spans="1:11" ht="15" thickBo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</row>
    <row r="190" spans="1:11" ht="15" thickBo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</row>
    <row r="191" spans="1:11" ht="15" thickBo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</row>
    <row r="192" spans="1:11" ht="15" thickBo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</row>
    <row r="193" spans="1:11" ht="15" thickBo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</row>
    <row r="194" spans="1:11" ht="15" thickBo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</row>
    <row r="195" spans="1:11" ht="15" thickBo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</row>
    <row r="196" spans="1:11" ht="15" thickBo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</row>
    <row r="197" spans="1:11" ht="15" thickBo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</row>
    <row r="198" spans="1:11" ht="15" thickBo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</row>
    <row r="199" spans="1:11" ht="15" thickBo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</row>
    <row r="200" spans="1:11" ht="15" thickBo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</row>
    <row r="201" spans="1:11" ht="15" thickBo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</row>
    <row r="202" spans="1:11" ht="15" thickBo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</row>
    <row r="203" spans="1:11" ht="15" thickBo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</row>
    <row r="204" spans="1:11" ht="15" thickBo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</row>
    <row r="205" spans="1:11" ht="15" thickBo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</row>
    <row r="206" spans="1:11" ht="15" thickBo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</row>
    <row r="207" spans="1:11" ht="15" thickBo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</row>
    <row r="208" spans="1:11" ht="15" thickBo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</row>
    <row r="209" spans="1:11" ht="15" thickBo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</row>
    <row r="210" spans="1:11" ht="15" thickBo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</row>
    <row r="211" spans="1:11" ht="15" thickBo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</row>
    <row r="212" spans="1:11" ht="15" thickBo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</row>
    <row r="213" spans="1:11" ht="15" thickBo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</row>
    <row r="214" spans="1:11" ht="15" thickBo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</row>
    <row r="215" spans="1:11" ht="15" thickBo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</row>
    <row r="216" spans="1:11" ht="15" thickBo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</row>
    <row r="217" spans="1:11" ht="15" thickBo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</row>
    <row r="218" spans="1:11" ht="15" thickBo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</row>
    <row r="219" spans="1:11" ht="15" thickBo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</row>
    <row r="220" spans="1:11" ht="15" thickBo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</row>
    <row r="221" spans="1:11" ht="15" thickBo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</row>
    <row r="222" spans="1:11" ht="15" thickBo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</row>
    <row r="223" spans="1:11" ht="15" thickBo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</row>
    <row r="224" spans="1:11" ht="15" thickBo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</row>
    <row r="225" spans="1:11" ht="15" thickBo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</row>
    <row r="226" spans="1:11" ht="15" thickBo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</row>
    <row r="227" spans="1:11" ht="15" thickBo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</row>
    <row r="228" spans="1:11" ht="15" thickBo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</row>
    <row r="229" spans="1:11" ht="15" thickBo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</row>
    <row r="230" spans="1:11" ht="15" thickBo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</row>
    <row r="231" spans="1:11" ht="15" thickBo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</row>
    <row r="232" spans="1:11" ht="15" thickBo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</row>
    <row r="233" spans="1:11" ht="15" thickBo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</row>
    <row r="234" spans="1:11" ht="15" thickBo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</row>
    <row r="235" spans="1:11" ht="15" thickBo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</row>
    <row r="236" spans="1:11" ht="15" thickBo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</row>
    <row r="237" spans="1:11" ht="15" thickBo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</row>
    <row r="238" spans="1:11" ht="15" thickBo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</row>
    <row r="239" spans="1:11" ht="15" thickBo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</row>
    <row r="240" spans="1:11" ht="15" thickBo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</row>
    <row r="241" spans="1:11" ht="15" thickBo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</row>
    <row r="242" spans="1:11" ht="15" thickBo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</row>
    <row r="243" spans="1:11" ht="15" thickBo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</row>
    <row r="244" spans="1:11" ht="15" thickBo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</row>
    <row r="245" spans="1:11" ht="15" thickBo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</row>
    <row r="246" spans="1:11" ht="15" thickBo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</row>
    <row r="247" spans="1:11" ht="15" thickBo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</row>
    <row r="248" spans="1:11" ht="15" thickBo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</row>
    <row r="249" spans="1:11" ht="15" thickBo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</row>
    <row r="250" spans="1:11" ht="15" thickBo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</row>
    <row r="251" spans="1:11" ht="15" thickBo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</row>
    <row r="252" spans="1:11" ht="15" thickBo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</row>
    <row r="253" spans="1:11" ht="15" thickBo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</row>
    <row r="254" spans="1:11" ht="15" thickBo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</row>
    <row r="255" spans="1:11" ht="15" thickBo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</row>
    <row r="256" spans="1:11" ht="15" thickBo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</row>
    <row r="257" spans="1:11" ht="15" thickBo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</row>
    <row r="258" spans="1:11" ht="15" thickBo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</row>
    <row r="259" spans="1:11" ht="15" thickBo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</row>
    <row r="260" spans="1:11" ht="15" thickBo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</row>
    <row r="261" spans="1:11" ht="15" thickBo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</row>
    <row r="262" spans="1:11" ht="15" thickBo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</row>
    <row r="263" spans="1:11" ht="15" thickBo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</row>
    <row r="264" spans="1:11" ht="15" thickBo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</row>
    <row r="265" spans="1:11" ht="15" thickBo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</row>
    <row r="266" spans="1:11" ht="15" thickBo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</row>
    <row r="267" spans="1:11" ht="15" thickBo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</row>
    <row r="268" spans="1:11" ht="15" thickBo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</row>
    <row r="269" spans="1:11" ht="15" thickBo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</row>
    <row r="270" spans="1:11" ht="15" thickBo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</row>
    <row r="271" spans="1:11" ht="15" thickBo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</row>
    <row r="272" spans="1:11" ht="15" thickBo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</row>
    <row r="273" spans="1:11" ht="15" thickBo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</row>
    <row r="274" spans="1:11" ht="15" thickBo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</row>
    <row r="275" spans="1:11" ht="15" thickBo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</row>
    <row r="276" spans="1:11" ht="15" thickBo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</row>
    <row r="277" spans="1:11" ht="15" thickBo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</row>
    <row r="278" spans="1:11" ht="15" thickBo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</row>
    <row r="279" spans="1:11" ht="15" thickBo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</row>
    <row r="280" spans="1:11" ht="15" thickBo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</row>
    <row r="281" spans="1:11" ht="15" thickBo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</row>
    <row r="282" spans="1:11" ht="15" thickBo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</row>
    <row r="283" spans="1:11" ht="15" thickBo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</row>
    <row r="284" spans="1:11" ht="15" thickBo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</row>
    <row r="285" spans="1:11" ht="15" thickBo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</row>
    <row r="286" spans="1:11" ht="15" thickBo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</row>
    <row r="287" spans="1:11" ht="15" thickBo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</row>
    <row r="288" spans="1:11" ht="15" thickBo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</row>
    <row r="289" spans="1:11" ht="15" thickBo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</row>
    <row r="290" spans="1:11" ht="15" thickBo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</row>
    <row r="291" spans="1:11" ht="15" thickBo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</row>
    <row r="292" spans="1:11" ht="15" thickBo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</row>
    <row r="293" spans="1:11" ht="15" thickBo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</row>
    <row r="294" spans="1:11" ht="15" thickBo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</row>
    <row r="295" spans="1:11" ht="15" thickBo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</row>
    <row r="296" spans="1:11" ht="15" thickBo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</row>
    <row r="297" spans="1:11" ht="15" thickBo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</row>
    <row r="298" spans="1:11" ht="15" thickBo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</row>
    <row r="299" spans="1:11" ht="15" thickBo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</row>
    <row r="300" spans="1:11" ht="15" thickBo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</row>
    <row r="301" spans="1:11" ht="15" thickBo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</row>
    <row r="302" spans="1:11" ht="15" thickBo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</row>
    <row r="303" spans="1:11" ht="15" thickBo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</row>
    <row r="304" spans="1:11" ht="15" thickBo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</row>
    <row r="305" spans="1:11" ht="15" thickBo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</row>
    <row r="306" spans="1:11" ht="15" thickBo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</row>
    <row r="307" spans="1:11" ht="15" thickBo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</row>
    <row r="308" spans="1:11" ht="15" thickBo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</row>
    <row r="309" spans="1:11" ht="15" thickBo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</row>
    <row r="310" spans="1:11" ht="15" thickBo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</row>
    <row r="311" spans="1:11" ht="15" thickBo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</row>
    <row r="312" spans="1:11" ht="15" thickBo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</row>
    <row r="313" spans="1:11" ht="15" thickBo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</row>
    <row r="314" spans="1:11" ht="15" thickBo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</row>
    <row r="315" spans="1:11" ht="15" thickBo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</row>
    <row r="316" spans="1:11" ht="15" thickBo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</row>
    <row r="317" spans="1:11" ht="15" thickBo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</row>
    <row r="318" spans="1:11" ht="15" thickBo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</row>
    <row r="319" spans="1:11" ht="15" thickBo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</row>
    <row r="320" spans="1:11" ht="15" thickBo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</row>
    <row r="321" spans="1:11" ht="15" thickBo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</row>
    <row r="322" spans="1:11" ht="15" thickBo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</row>
    <row r="323" spans="1:11" ht="15" thickBo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</row>
    <row r="324" spans="1:11" ht="15" thickBo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</row>
    <row r="325" spans="1:11" ht="15" thickBo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</row>
    <row r="326" spans="1:11" ht="15" thickBo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</row>
    <row r="327" spans="1:11" ht="15" thickBo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</row>
    <row r="328" spans="1:11" ht="15" thickBo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</row>
    <row r="329" spans="1:11" ht="15" thickBo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</row>
    <row r="330" spans="1:11" ht="15" thickBo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</row>
    <row r="331" spans="1:11" ht="15" thickBo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</row>
    <row r="332" spans="1:11" ht="15" thickBo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</row>
    <row r="333" spans="1:11" ht="15" thickBo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</row>
    <row r="334" spans="1:11" ht="15" thickBo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</row>
    <row r="335" spans="1:11" ht="15" thickBo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</row>
    <row r="336" spans="1:11" ht="15" thickBo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</row>
    <row r="337" spans="1:11" ht="15" thickBo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</row>
    <row r="338" spans="1:11" ht="15" thickBo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</row>
    <row r="339" spans="1:11" ht="15" thickBo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</row>
    <row r="340" spans="1:11" ht="15" thickBo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</row>
    <row r="341" spans="1:11" ht="15" thickBo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</row>
    <row r="342" spans="1:11" ht="15" thickBo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</row>
    <row r="343" spans="1:11" ht="15" thickBo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</row>
    <row r="344" spans="1:11" ht="15" thickBo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</row>
    <row r="345" spans="1:11" ht="15" thickBo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</row>
    <row r="346" spans="1:11" ht="15" thickBo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</row>
    <row r="347" spans="1:11" ht="15" thickBo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</row>
    <row r="348" spans="1:11" ht="15" thickBo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</row>
    <row r="349" spans="1:11" ht="15" thickBo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</row>
    <row r="350" spans="1:11" ht="15" thickBo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</row>
    <row r="351" spans="1:11" ht="15" thickBo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</row>
    <row r="352" spans="1:11" ht="15" thickBo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</row>
    <row r="353" spans="1:11" ht="15" thickBo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</row>
    <row r="354" spans="1:11" ht="15" thickBo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</row>
    <row r="355" spans="1:11" ht="15" thickBo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</row>
    <row r="356" spans="1:11" ht="15" thickBo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</row>
    <row r="357" spans="1:11" ht="15" thickBo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</row>
    <row r="358" spans="1:11" ht="15" thickBo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</row>
    <row r="359" spans="1:11" ht="15" thickBo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</row>
    <row r="360" spans="1:11" ht="15" thickBo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</row>
    <row r="361" spans="1:11" ht="15" thickBo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</row>
    <row r="362" spans="1:11" ht="15" thickBo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</row>
    <row r="363" spans="1:11" ht="15" thickBo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</row>
    <row r="364" spans="1:11" ht="15" thickBo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</row>
    <row r="365" spans="1:11" ht="15" thickBo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</row>
    <row r="366" spans="1:11" ht="15" thickBo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</row>
    <row r="367" spans="1:11" ht="15" thickBo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</row>
    <row r="368" spans="1:11" ht="15" thickBo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</row>
    <row r="369" spans="1:11" ht="15" thickBo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</row>
    <row r="370" spans="1:11" ht="15" thickBo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</row>
    <row r="371" spans="1:11" ht="15" thickBo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</row>
    <row r="372" spans="1:11" ht="15" thickBo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</row>
    <row r="373" spans="1:11" ht="15" thickBo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</row>
    <row r="374" spans="1:11" ht="15" thickBo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</row>
    <row r="375" spans="1:11" ht="15" thickBo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</row>
    <row r="376" spans="1:11" ht="15" thickBo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</row>
    <row r="377" spans="1:11" ht="15" thickBo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</row>
    <row r="378" spans="1:11" ht="15" thickBo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</row>
    <row r="379" spans="1:11" ht="15" thickBo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</row>
    <row r="380" spans="1:11" ht="15" thickBo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</row>
    <row r="381" spans="1:11" ht="15" thickBo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</row>
    <row r="382" spans="1:11" ht="15" thickBo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</row>
    <row r="383" spans="1:11" ht="15" thickBo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</row>
    <row r="384" spans="1:11" ht="15" thickBo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</row>
    <row r="385" spans="1:11" ht="15" thickBo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</row>
    <row r="386" spans="1:11" ht="15" thickBo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</row>
    <row r="387" spans="1:11" ht="15" thickBo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</row>
    <row r="388" spans="1:11" ht="15" thickBo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</row>
    <row r="389" spans="1:11" ht="15" thickBo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</row>
    <row r="390" spans="1:11" ht="15" thickBo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</row>
    <row r="391" spans="1:11" ht="15" thickBo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</row>
    <row r="392" spans="1:11" ht="15" thickBo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</row>
    <row r="393" spans="1:11" ht="15" thickBo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</row>
    <row r="394" spans="1:11" ht="15" thickBo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</row>
    <row r="395" spans="1:11" ht="15" thickBo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</row>
    <row r="396" spans="1:11" ht="15" thickBo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</row>
    <row r="397" spans="1:11" ht="15" thickBo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</row>
    <row r="398" spans="1:11" ht="15" thickBo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</row>
    <row r="399" spans="1:11" ht="15" thickBo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</row>
    <row r="400" spans="1:11" ht="15" thickBo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</row>
    <row r="401" spans="1:11" ht="15" thickBo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</row>
    <row r="402" spans="1:11" ht="15" thickBo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</row>
    <row r="403" spans="1:11" ht="15" thickBo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</row>
    <row r="404" spans="1:11" ht="15" thickBo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</row>
    <row r="405" spans="1:11" ht="15" thickBo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</row>
    <row r="406" spans="1:11" ht="15" thickBo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</row>
    <row r="407" spans="1:11" ht="15" thickBo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</row>
    <row r="408" spans="1:11" ht="15" thickBo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</row>
    <row r="409" spans="1:11" ht="15" thickBo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</row>
    <row r="410" spans="1:11" ht="15" thickBo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</row>
    <row r="411" spans="1:11" ht="15" thickBo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</row>
    <row r="412" spans="1:11" ht="15" thickBo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</row>
    <row r="413" spans="1:11" ht="15" thickBo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</row>
    <row r="414" spans="1:11" ht="15" thickBo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</row>
    <row r="415" spans="1:11" ht="15" thickBo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</row>
    <row r="416" spans="1:11" ht="15" thickBo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</row>
    <row r="417" spans="1:11" ht="15" thickBo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</row>
    <row r="418" spans="1:11" ht="15" thickBo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</row>
    <row r="419" spans="1:11" ht="15" thickBo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</row>
    <row r="420" spans="1:11" ht="15" thickBo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</row>
    <row r="421" spans="1:11" ht="15" thickBo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</row>
    <row r="422" spans="1:11" ht="15" thickBo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</row>
    <row r="423" spans="1:11" ht="15" thickBo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</row>
    <row r="424" spans="1:11" ht="15" thickBo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</row>
    <row r="425" spans="1:11" ht="15" thickBo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</row>
    <row r="426" spans="1:11" ht="15" thickBo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</row>
    <row r="427" spans="1:11" ht="15" thickBo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</row>
    <row r="428" spans="1:11" ht="15" thickBo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</row>
    <row r="429" spans="1:11" ht="15" thickBo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</row>
    <row r="430" spans="1:11" ht="15" thickBo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</row>
    <row r="431" spans="1:11" ht="15" thickBo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</row>
    <row r="432" spans="1:11" ht="15" thickBo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</row>
    <row r="433" spans="1:11" ht="15" thickBo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</row>
    <row r="434" spans="1:11" ht="15" thickBo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</row>
    <row r="435" spans="1:11" ht="15" thickBo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</row>
    <row r="436" spans="1:11" ht="15" thickBo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</row>
    <row r="437" spans="1:11" ht="15" thickBo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</row>
    <row r="438" spans="1:11" ht="15" thickBo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</row>
    <row r="439" spans="1:11" ht="15" thickBo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</row>
    <row r="440" spans="1:11" ht="15" thickBo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</row>
    <row r="441" spans="1:11" ht="15" thickBo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</row>
    <row r="442" spans="1:11" ht="15" thickBo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</row>
    <row r="443" spans="1:11" ht="15" thickBo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</row>
    <row r="444" spans="1:11" ht="15" thickBo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</row>
    <row r="445" spans="1:11" ht="15" thickBo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</row>
    <row r="446" spans="1:11" ht="15" thickBo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</row>
    <row r="447" spans="1:11" ht="15" thickBo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</row>
    <row r="448" spans="1:11" ht="15" thickBo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</row>
    <row r="449" spans="1:11" ht="15" thickBo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</row>
    <row r="450" spans="1:11" ht="15" thickBo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</row>
    <row r="451" spans="1:11" ht="15" thickBo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</row>
    <row r="452" spans="1:11" ht="15" thickBo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</row>
    <row r="453" spans="1:11" ht="15" thickBo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</row>
    <row r="454" spans="1:11" ht="15" thickBo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</row>
    <row r="455" spans="1:11" ht="15" thickBo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</row>
    <row r="456" spans="1:11" ht="15" thickBo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</row>
    <row r="457" spans="1:11" ht="15" thickBo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</row>
    <row r="458" spans="1:11" ht="15" thickBo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</row>
    <row r="459" spans="1:11" ht="15" thickBo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</row>
    <row r="460" spans="1:11" ht="15" thickBo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</row>
    <row r="461" spans="1:11" ht="15" thickBo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</row>
    <row r="462" spans="1:11" ht="15" thickBo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</row>
    <row r="463" spans="1:11" ht="15" thickBo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</row>
    <row r="464" spans="1:11" ht="15" thickBo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</row>
    <row r="465" spans="1:11" ht="15" thickBo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</row>
    <row r="466" spans="1:11" ht="15" thickBo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</row>
    <row r="467" spans="1:11" ht="15" thickBo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</row>
    <row r="468" spans="1:11" ht="15" thickBo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</row>
    <row r="469" spans="1:11" ht="15" thickBo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</row>
    <row r="470" spans="1:11" ht="15" thickBo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</row>
    <row r="471" spans="1:11" ht="15" thickBo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</row>
    <row r="472" spans="1:11" ht="15" thickBo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</row>
    <row r="473" spans="1:11" ht="15" thickBo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</row>
    <row r="474" spans="1:11" ht="15" thickBo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</row>
    <row r="475" spans="1:11" ht="15" thickBo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</row>
    <row r="476" spans="1:11" ht="15" thickBo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</row>
    <row r="477" spans="1:11" ht="15" thickBo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</row>
    <row r="478" spans="1:11" ht="15" thickBo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</row>
    <row r="479" spans="1:11" ht="15" thickBo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</row>
    <row r="480" spans="1:11" ht="15" thickBo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</row>
    <row r="481" spans="1:11" ht="15" thickBo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</row>
    <row r="482" spans="1:11" ht="15" thickBo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</row>
    <row r="483" spans="1:11" ht="15" thickBo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</row>
    <row r="484" spans="1:11" ht="15" thickBo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</row>
    <row r="485" spans="1:11" ht="15" thickBo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</row>
    <row r="486" spans="1:11" ht="15" thickBo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</row>
    <row r="487" spans="1:11" ht="15" thickBo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</row>
    <row r="488" spans="1:11" ht="15" thickBo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</row>
    <row r="489" spans="1:11" ht="15" thickBo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</row>
    <row r="490" spans="1:11" ht="15" thickBo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</row>
    <row r="491" spans="1:11" ht="15" thickBo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</row>
    <row r="492" spans="1:11" ht="15" thickBo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</row>
    <row r="493" spans="1:11" ht="15" thickBo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</row>
    <row r="494" spans="1:11" ht="15" thickBo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</row>
    <row r="495" spans="1:11" ht="15" thickBo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</row>
    <row r="496" spans="1:11" ht="15" thickBo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</row>
    <row r="497" spans="1:11" ht="15" thickBo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</row>
    <row r="498" spans="1:11" ht="15" thickBo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</row>
    <row r="499" spans="1:11" ht="15" thickBo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</row>
    <row r="500" spans="1:11" ht="15" thickBo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</row>
    <row r="501" spans="1:11" ht="15" thickBo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</row>
    <row r="502" spans="1:11" ht="15" thickBo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</row>
    <row r="503" spans="1:11" ht="15" thickBo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</row>
    <row r="504" spans="1:11" ht="15" thickBo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</row>
    <row r="505" spans="1:11" ht="15" thickBo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</row>
    <row r="506" spans="1:11" ht="15" thickBo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</row>
    <row r="507" spans="1:11" ht="15" thickBo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</row>
    <row r="508" spans="1:11" ht="15" thickBo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</row>
    <row r="509" spans="1:11" ht="15" thickBo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</row>
    <row r="510" spans="1:11" ht="15" thickBo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</row>
    <row r="511" spans="1:11" ht="15" thickBo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</row>
    <row r="512" spans="1:11" ht="15" thickBo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</row>
    <row r="513" spans="1:11" ht="15" thickBo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</row>
    <row r="514" spans="1:11" ht="15" thickBo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</row>
    <row r="515" spans="1:11" ht="15" thickBo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</row>
    <row r="516" spans="1:11" ht="15" thickBo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</row>
    <row r="517" spans="1:11" ht="15" thickBo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</row>
    <row r="518" spans="1:11" ht="15" thickBo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</row>
    <row r="519" spans="1:11" ht="15" thickBo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</row>
    <row r="520" spans="1:11" ht="15" thickBo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</row>
    <row r="521" spans="1:11" ht="15" thickBo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</row>
    <row r="522" spans="1:11" ht="15" thickBo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</row>
    <row r="523" spans="1:11" ht="15" thickBo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</row>
    <row r="524" spans="1:11" ht="15" thickBo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</row>
    <row r="525" spans="1:11" ht="15" thickBo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</row>
    <row r="526" spans="1:11" ht="15" thickBo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</row>
    <row r="527" spans="1:11" ht="15" thickBo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</row>
    <row r="528" spans="1:11" ht="15" thickBo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</row>
    <row r="529" spans="1:11" ht="15" thickBo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</row>
    <row r="530" spans="1:11" ht="15" thickBo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</row>
    <row r="531" spans="1:11" ht="15" thickBo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</row>
    <row r="532" spans="1:11" ht="15" thickBo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</row>
    <row r="533" spans="1:11" ht="15" thickBo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</row>
    <row r="534" spans="1:11" ht="15" thickBo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</row>
    <row r="535" spans="1:11" ht="15" thickBo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</row>
    <row r="536" spans="1:11" ht="15" thickBo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</row>
    <row r="537" spans="1:11" ht="15" thickBo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</row>
    <row r="538" spans="1:11" ht="15" thickBo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</row>
    <row r="539" spans="1:11" ht="15" thickBo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</row>
    <row r="540" spans="1:11" ht="15" thickBo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</row>
    <row r="541" spans="1:11" ht="15" thickBo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</row>
    <row r="542" spans="1:11" ht="15" thickBo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</row>
    <row r="543" spans="1:11" ht="15" thickBo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</row>
    <row r="544" spans="1:11" ht="15" thickBo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</row>
    <row r="545" spans="1:11" ht="15" thickBo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</row>
    <row r="546" spans="1:11" ht="15" thickBo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</row>
    <row r="547" spans="1:11" ht="15" thickBo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</row>
    <row r="548" spans="1:11" ht="15" thickBo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</row>
    <row r="549" spans="1:11" ht="15" thickBo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</row>
    <row r="550" spans="1:11" ht="15" thickBo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</row>
    <row r="551" spans="1:11" ht="15" thickBo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</row>
    <row r="552" spans="1:11" ht="15" thickBo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</row>
    <row r="553" spans="1:11" ht="15" thickBo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</row>
    <row r="554" spans="1:11" ht="15" thickBo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</row>
    <row r="555" spans="1:11" ht="15" thickBo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</row>
    <row r="556" spans="1:11" ht="15" thickBo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</row>
    <row r="557" spans="1:11" ht="15" thickBo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</row>
    <row r="558" spans="1:11" ht="15" thickBo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</row>
    <row r="559" spans="1:11" ht="15" thickBo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</row>
    <row r="560" spans="1:11" ht="15" thickBo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</row>
    <row r="561" spans="1:11" ht="15" thickBo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</row>
    <row r="562" spans="1:11" ht="15" thickBo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</row>
    <row r="563" spans="1:11" ht="15" thickBo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</row>
    <row r="564" spans="1:11" ht="15" thickBo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</row>
    <row r="565" spans="1:11" ht="15" thickBo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</row>
    <row r="566" spans="1:11" ht="15" thickBo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</row>
    <row r="567" spans="1:11" ht="15" thickBo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</row>
    <row r="568" spans="1:11" ht="15" thickBo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</row>
    <row r="569" spans="1:11" ht="15" thickBo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</row>
    <row r="570" spans="1:11" ht="15" thickBo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</row>
    <row r="571" spans="1:11" ht="15" thickBo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</row>
    <row r="572" spans="1:11" ht="15" thickBo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</row>
    <row r="573" spans="1:11" ht="15" thickBo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</row>
    <row r="574" spans="1:11" ht="15" thickBo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</row>
    <row r="575" spans="1:11" ht="15" thickBo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</row>
    <row r="576" spans="1:11" ht="15" thickBo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</row>
    <row r="577" spans="1:11" ht="15" thickBo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</row>
    <row r="578" spans="1:11" ht="15" thickBo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</row>
    <row r="579" spans="1:11" ht="15" thickBo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</row>
    <row r="580" spans="1:11" ht="15" thickBo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</row>
    <row r="581" spans="1:11" ht="15" thickBo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</row>
    <row r="582" spans="1:11" ht="15" thickBo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</row>
    <row r="583" spans="1:11" ht="15" thickBo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</row>
    <row r="584" spans="1:11" ht="15" thickBo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</row>
    <row r="585" spans="1:11" ht="15" thickBo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</row>
    <row r="586" spans="1:11" ht="15" thickBo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</row>
    <row r="587" spans="1:11" ht="15" thickBo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</row>
    <row r="588" spans="1:11" ht="15" thickBo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</row>
    <row r="589" spans="1:11" ht="15" thickBo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</row>
    <row r="590" spans="1:11" ht="15" thickBo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</row>
    <row r="591" spans="1:11" ht="15" thickBo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</row>
    <row r="592" spans="1:11" ht="15" thickBo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</row>
    <row r="593" spans="1:11" ht="15" thickBo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</row>
    <row r="594" spans="1:11" ht="15" thickBo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</row>
    <row r="595" spans="1:11" ht="15" thickBo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</row>
    <row r="596" spans="1:11" ht="15" thickBo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</row>
    <row r="597" spans="1:11" ht="15" thickBo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</row>
    <row r="598" spans="1:11" ht="15" thickBo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</row>
    <row r="599" spans="1:11" ht="15" thickBo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</row>
    <row r="600" spans="1:11" ht="15" thickBo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</row>
    <row r="601" spans="1:11" ht="15" thickBo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</row>
    <row r="602" spans="1:11" ht="15" thickBo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</row>
    <row r="603" spans="1:11" ht="15" thickBo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</row>
    <row r="604" spans="1:11" ht="15" thickBo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</row>
    <row r="605" spans="1:11" ht="15" thickBo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</row>
    <row r="606" spans="1:11" ht="15" thickBo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</row>
    <row r="607" spans="1:11" ht="15" thickBo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</row>
    <row r="608" spans="1:11" ht="15" thickBo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</row>
    <row r="609" spans="1:11" ht="15" thickBo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</row>
    <row r="610" spans="1:11" ht="15" thickBo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</row>
    <row r="611" spans="1:11" ht="15" thickBo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</row>
    <row r="612" spans="1:11" ht="15" thickBo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</row>
    <row r="613" spans="1:11" ht="15" thickBo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</row>
    <row r="614" spans="1:11" ht="15" thickBo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</row>
    <row r="615" spans="1:11" ht="15" thickBo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</row>
    <row r="616" spans="1:11" ht="15" thickBo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</row>
    <row r="617" spans="1:11" ht="15" thickBo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</row>
    <row r="618" spans="1:11" ht="15" thickBo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</row>
    <row r="619" spans="1:11" ht="15" thickBo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</row>
    <row r="620" spans="1:11" ht="15" thickBo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</row>
    <row r="621" spans="1:11" ht="15" thickBo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</row>
    <row r="622" spans="1:11" ht="15" thickBo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</row>
    <row r="623" spans="1:11" ht="15" thickBo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</row>
    <row r="624" spans="1:11" ht="15" thickBo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</row>
    <row r="625" spans="1:11" ht="15" thickBo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</row>
    <row r="626" spans="1:11" ht="15" thickBo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</row>
    <row r="627" spans="1:11" ht="15" thickBo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</row>
    <row r="628" spans="1:11" ht="15" thickBo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</row>
    <row r="629" spans="1:11" ht="15" thickBo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</row>
    <row r="630" spans="1:11" ht="15" thickBo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</row>
    <row r="631" spans="1:11" ht="15" thickBo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</row>
    <row r="632" spans="1:11" ht="15" thickBo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</row>
    <row r="633" spans="1:11" ht="15" thickBo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</row>
    <row r="634" spans="1:11" ht="15" thickBo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</row>
    <row r="635" spans="1:11" ht="15" thickBo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</row>
    <row r="636" spans="1:11" ht="15" thickBo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</row>
    <row r="637" spans="1:11" ht="15" thickBo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</row>
    <row r="638" spans="1:11" ht="15" thickBo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</row>
    <row r="639" spans="1:11" ht="15" thickBo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</row>
    <row r="640" spans="1:11" ht="15" thickBo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</row>
    <row r="641" spans="1:11" ht="15" thickBo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</row>
    <row r="642" spans="1:11" ht="15" thickBo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</row>
    <row r="643" spans="1:11" ht="15" thickBo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</row>
    <row r="644" spans="1:11" ht="15" thickBo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</row>
    <row r="645" spans="1:11" ht="15" thickBo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</row>
    <row r="646" spans="1:11" ht="15" thickBo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</row>
    <row r="647" spans="1:11" ht="15" thickBo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</row>
    <row r="648" spans="1:11" ht="15" thickBo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</row>
    <row r="649" spans="1:11" ht="15" thickBo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</row>
    <row r="650" spans="1:11" ht="15" thickBo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</row>
    <row r="651" spans="1:11" ht="15" thickBo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</row>
    <row r="652" spans="1:11" ht="15" thickBo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</row>
    <row r="653" spans="1:11" ht="15" thickBo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</row>
    <row r="654" spans="1:11" ht="15" thickBo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</row>
    <row r="655" spans="1:11" ht="15" thickBo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</row>
    <row r="656" spans="1:11" ht="15" thickBo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</row>
    <row r="657" spans="1:11" ht="15" thickBo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</row>
    <row r="658" spans="1:11" ht="15" thickBo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</row>
    <row r="659" spans="1:11" ht="15" thickBo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</row>
    <row r="660" spans="1:11" ht="15" thickBo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</row>
    <row r="661" spans="1:11" ht="15" thickBo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</row>
    <row r="662" spans="1:11" ht="15" thickBo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</row>
    <row r="663" spans="1:11" ht="15" thickBo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</row>
    <row r="664" spans="1:11" ht="15" thickBo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</row>
    <row r="665" spans="1:11" ht="15" thickBo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</row>
    <row r="666" spans="1:11" ht="15" thickBo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</row>
    <row r="667" spans="1:11" ht="15" thickBo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</row>
    <row r="668" spans="1:11" ht="15" thickBo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</row>
    <row r="669" spans="1:11" ht="15" thickBo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</row>
    <row r="670" spans="1:11" ht="15" thickBo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</row>
    <row r="671" spans="1:11" ht="15" thickBo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</row>
    <row r="672" spans="1:11" ht="15" thickBo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</row>
    <row r="673" spans="1:11" ht="15" thickBo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</row>
    <row r="674" spans="1:11" ht="15" thickBo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</row>
    <row r="675" spans="1:11" ht="15" thickBo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</row>
    <row r="676" spans="1:11" ht="15" thickBo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</row>
    <row r="677" spans="1:11" ht="15" thickBo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</row>
    <row r="678" spans="1:11" ht="15" thickBo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</row>
    <row r="679" spans="1:11" ht="15" thickBo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</row>
    <row r="680" spans="1:11" ht="15" thickBo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</row>
    <row r="681" spans="1:11" ht="15" thickBo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</row>
    <row r="682" spans="1:11" ht="15" thickBo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</row>
    <row r="683" spans="1:11" ht="15" thickBo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</row>
    <row r="684" spans="1:11" ht="15" thickBo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</row>
    <row r="685" spans="1:11" ht="15" thickBo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</row>
    <row r="686" spans="1:11" ht="15" thickBo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</row>
    <row r="687" spans="1:11" ht="15" thickBo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</row>
    <row r="688" spans="1:11" ht="15" thickBo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</row>
    <row r="689" spans="1:11" ht="15" thickBo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</row>
    <row r="690" spans="1:11" ht="15" thickBo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</row>
    <row r="691" spans="1:11" ht="15" thickBo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</row>
    <row r="692" spans="1:11" ht="15" thickBo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</row>
    <row r="693" spans="1:11" ht="15" thickBo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</row>
    <row r="694" spans="1:11" ht="15" thickBo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</row>
    <row r="695" spans="1:11" ht="15" thickBo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</row>
    <row r="696" spans="1:11" ht="15" thickBo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</row>
    <row r="697" spans="1:11" ht="15" thickBo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</row>
    <row r="698" spans="1:11" ht="15" thickBo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</row>
    <row r="699" spans="1:11" ht="15" thickBo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</row>
    <row r="700" spans="1:11" ht="15" thickBo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</row>
    <row r="701" spans="1:11" ht="15" thickBo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</row>
    <row r="702" spans="1:11" ht="15" thickBo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</row>
    <row r="703" spans="1:11" ht="15" thickBo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</row>
    <row r="704" spans="1:11" ht="15" thickBo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</row>
    <row r="705" spans="1:11" ht="15" thickBo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</row>
    <row r="706" spans="1:11" ht="15" thickBo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</row>
    <row r="707" spans="1:11" ht="15" thickBo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</row>
    <row r="708" spans="1:11" ht="15" thickBo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</row>
    <row r="709" spans="1:11" ht="15" thickBo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</row>
    <row r="710" spans="1:11" ht="15" thickBo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</row>
    <row r="711" spans="1:11" ht="15" thickBo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</row>
    <row r="712" spans="1:11" ht="15" thickBo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</row>
    <row r="713" spans="1:11" ht="15" thickBo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</row>
    <row r="714" spans="1:11" ht="15" thickBo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</row>
    <row r="715" spans="1:11" ht="15" thickBo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</row>
    <row r="716" spans="1:11" ht="15" thickBo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</row>
    <row r="717" spans="1:11" ht="15" thickBo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</row>
    <row r="718" spans="1:11" ht="15" thickBo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</row>
    <row r="719" spans="1:11" ht="15" thickBo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</row>
    <row r="720" spans="1:11" ht="15" thickBo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</row>
    <row r="721" spans="1:11" ht="15" thickBo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</row>
    <row r="722" spans="1:11" ht="15" thickBo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</row>
    <row r="723" spans="1:11" ht="15" thickBo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</row>
    <row r="724" spans="1:11" ht="15" thickBo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</row>
    <row r="725" spans="1:11" ht="15" thickBo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</row>
    <row r="726" spans="1:11" ht="15" thickBo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</row>
    <row r="727" spans="1:11" ht="15" thickBo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</row>
    <row r="728" spans="1:11" ht="15" thickBo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</row>
    <row r="729" spans="1:11" ht="15" thickBo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</row>
    <row r="730" spans="1:11" ht="15" thickBo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</row>
    <row r="731" spans="1:11" ht="15" thickBo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</row>
    <row r="732" spans="1:11" ht="15" thickBo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</row>
    <row r="733" spans="1:11" ht="15" thickBo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</row>
    <row r="734" spans="1:11" ht="15" thickBo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</row>
    <row r="735" spans="1:11" ht="15" thickBo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</row>
    <row r="736" spans="1:11" ht="15" thickBo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</row>
    <row r="737" spans="1:11" ht="15" thickBo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</row>
    <row r="738" spans="1:11" ht="15" thickBo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</row>
    <row r="739" spans="1:11" ht="15" thickBo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</row>
    <row r="740" spans="1:11" ht="15" thickBo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</row>
    <row r="741" spans="1:11" ht="15" thickBo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</row>
    <row r="742" spans="1:11" ht="15" thickBo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</row>
    <row r="743" spans="1:11" ht="15" thickBo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</row>
    <row r="744" spans="1:11" ht="15" thickBo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</row>
    <row r="745" spans="1:11" ht="15" thickBo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</row>
    <row r="746" spans="1:11" ht="15" thickBo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</row>
    <row r="747" spans="1:11" ht="15" thickBo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</row>
    <row r="748" spans="1:11" ht="15" thickBo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</row>
    <row r="749" spans="1:11" ht="15" thickBo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</row>
    <row r="750" spans="1:11" ht="15" thickBo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</row>
    <row r="751" spans="1:11" ht="15" thickBo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</row>
    <row r="752" spans="1:11" ht="15" thickBo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</row>
    <row r="753" spans="1:11" ht="15" thickBo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</row>
    <row r="754" spans="1:11" ht="15" thickBo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</row>
    <row r="755" spans="1:11" ht="15" thickBo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</row>
    <row r="756" spans="1:11" ht="15" thickBo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</row>
    <row r="757" spans="1:11" ht="15" thickBo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</row>
    <row r="758" spans="1:11" ht="15" thickBo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</row>
    <row r="759" spans="1:11" ht="15" thickBo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</row>
    <row r="760" spans="1:11" ht="15" thickBo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</row>
    <row r="761" spans="1:11" ht="15" thickBo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</row>
    <row r="762" spans="1:11" ht="15" thickBo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</row>
    <row r="763" spans="1:11" ht="15" thickBo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</row>
    <row r="764" spans="1:11" ht="15" thickBo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</row>
    <row r="765" spans="1:11" ht="15" thickBo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</row>
    <row r="766" spans="1:11" ht="15" thickBo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</row>
    <row r="767" spans="1:11" ht="15" thickBo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</row>
    <row r="768" spans="1:11" ht="15" thickBo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</row>
    <row r="769" spans="1:11" ht="15" thickBo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</row>
    <row r="770" spans="1:11" ht="15" thickBo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</row>
    <row r="771" spans="1:11" ht="15" thickBo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</row>
    <row r="772" spans="1:11" ht="15" thickBo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</row>
    <row r="773" spans="1:11" ht="15" thickBo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</row>
    <row r="774" spans="1:11" ht="15" thickBo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</row>
    <row r="775" spans="1:11" ht="15" thickBo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</row>
    <row r="776" spans="1:11" ht="15" thickBo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</row>
    <row r="777" spans="1:11" ht="15" thickBo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</row>
    <row r="778" spans="1:11" ht="15" thickBo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</row>
    <row r="779" spans="1:11" ht="15" thickBo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</row>
    <row r="780" spans="1:11" ht="15" thickBo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</row>
    <row r="781" spans="1:11" ht="15" thickBo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</row>
    <row r="782" spans="1:11" ht="15" thickBo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</row>
    <row r="783" spans="1:11" ht="15" thickBo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</row>
    <row r="784" spans="1:11" ht="15" thickBo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</row>
    <row r="785" spans="1:11" ht="15" thickBo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</row>
    <row r="786" spans="1:11" ht="15" thickBo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</row>
    <row r="787" spans="1:11" ht="15" thickBo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</row>
    <row r="788" spans="1:11" ht="15" thickBo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</row>
    <row r="789" spans="1:11" ht="15" thickBo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</row>
    <row r="790" spans="1:11" ht="15" thickBo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</row>
    <row r="791" spans="1:11" ht="15" thickBo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</row>
    <row r="792" spans="1:11" ht="15" thickBo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</row>
    <row r="793" spans="1:11" ht="15" thickBo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</row>
    <row r="794" spans="1:11" ht="15" thickBo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</row>
    <row r="795" spans="1:11" ht="15" thickBo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</row>
    <row r="796" spans="1:11" ht="15" thickBo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</row>
    <row r="797" spans="1:11" ht="15" thickBo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</row>
    <row r="798" spans="1:11" ht="15" thickBo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</row>
    <row r="799" spans="1:11" ht="15" thickBo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</row>
    <row r="800" spans="1:11" ht="15" thickBo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</row>
    <row r="801" spans="1:11" ht="15" thickBo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</row>
    <row r="802" spans="1:11" ht="15" thickBo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</row>
    <row r="803" spans="1:11" ht="15" thickBo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</row>
    <row r="804" spans="1:11" ht="15" thickBo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</row>
    <row r="805" spans="1:11" ht="15" thickBo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</row>
    <row r="806" spans="1:11" ht="15" thickBo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</row>
    <row r="807" spans="1:11" ht="15" thickBo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</row>
    <row r="808" spans="1:11" ht="15" thickBo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</row>
    <row r="809" spans="1:11" ht="15" thickBo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</row>
    <row r="810" spans="1:11" ht="15" thickBo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</row>
    <row r="811" spans="1:11" ht="15" thickBo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</row>
    <row r="812" spans="1:11" ht="15" thickBo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</row>
    <row r="813" spans="1:11" ht="15" thickBo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</row>
    <row r="814" spans="1:11" ht="15" thickBo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</row>
    <row r="815" spans="1:11" ht="15" thickBo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</row>
    <row r="816" spans="1:11" ht="15" thickBo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</row>
    <row r="817" spans="1:11" ht="15" thickBo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</row>
    <row r="818" spans="1:11" ht="15" thickBo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</row>
    <row r="819" spans="1:11" ht="15" thickBo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</row>
    <row r="820" spans="1:11" ht="15" thickBo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</row>
    <row r="821" spans="1:11" ht="15" thickBo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</row>
    <row r="822" spans="1:11" ht="15" thickBo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</row>
    <row r="823" spans="1:11" ht="15" thickBo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</row>
    <row r="824" spans="1:11" ht="15" thickBo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</row>
    <row r="825" spans="1:11" ht="15" thickBo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</row>
    <row r="826" spans="1:11" ht="15" thickBo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</row>
    <row r="827" spans="1:11" ht="15" thickBo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</row>
    <row r="828" spans="1:11" ht="15" thickBo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</row>
    <row r="829" spans="1:11" ht="15" thickBo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</row>
    <row r="830" spans="1:11" ht="15" thickBo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</row>
    <row r="831" spans="1:11" ht="15" thickBo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</row>
    <row r="832" spans="1:11" ht="15" thickBo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</row>
    <row r="833" spans="1:11" ht="15" thickBo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</row>
    <row r="834" spans="1:11" ht="15" thickBo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</row>
    <row r="835" spans="1:11" ht="15" thickBo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</row>
    <row r="836" spans="1:11" ht="15" thickBo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</row>
    <row r="837" spans="1:11" ht="15" thickBo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</row>
    <row r="838" spans="1:11" ht="15" thickBo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</row>
    <row r="839" spans="1:11" ht="15" thickBo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</row>
    <row r="840" spans="1:11" ht="15" thickBo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</row>
    <row r="841" spans="1:11" ht="15" thickBo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</row>
    <row r="842" spans="1:11" ht="15" thickBo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</row>
    <row r="843" spans="1:11" ht="15" thickBo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</row>
    <row r="844" spans="1:11" ht="15" thickBo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</row>
    <row r="845" spans="1:11" ht="15" thickBo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</row>
    <row r="846" spans="1:11" ht="15" thickBo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</row>
    <row r="847" spans="1:11" ht="15" thickBo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</row>
    <row r="848" spans="1:11" ht="15" thickBo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</row>
    <row r="849" spans="1:11" ht="15" thickBo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</row>
    <row r="850" spans="1:11" ht="15" thickBo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</row>
    <row r="851" spans="1:11" ht="15" thickBo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</row>
    <row r="852" spans="1:11" ht="15" thickBo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</row>
    <row r="853" spans="1:11" ht="15" thickBo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</row>
    <row r="854" spans="1:11" ht="15" thickBo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</row>
    <row r="855" spans="1:11" ht="15" thickBo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</row>
    <row r="856" spans="1:11" ht="15" thickBo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</row>
    <row r="857" spans="1:11" ht="15" thickBo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</row>
    <row r="858" spans="1:11" ht="15" thickBo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</row>
    <row r="859" spans="1:11" ht="15" thickBo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</row>
    <row r="860" spans="1:11" ht="15" thickBo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</row>
    <row r="861" spans="1:11" ht="15" thickBo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</row>
    <row r="862" spans="1:11" ht="15" thickBo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</row>
    <row r="863" spans="1:11" ht="15" thickBo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</row>
    <row r="864" spans="1:11" ht="15" thickBo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</row>
    <row r="865" spans="1:11" ht="15" thickBo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</row>
    <row r="866" spans="1:11" ht="15" thickBo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</row>
    <row r="867" spans="1:11" ht="15" thickBo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</row>
    <row r="868" spans="1:11" ht="15" thickBo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</row>
    <row r="869" spans="1:11" ht="15" thickBo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</row>
    <row r="870" spans="1:11" ht="15" thickBo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</row>
    <row r="871" spans="1:11" ht="15" thickBo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</row>
    <row r="872" spans="1:11" ht="15" thickBo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</row>
    <row r="873" spans="1:11" ht="15" thickBo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</row>
    <row r="874" spans="1:11" ht="15" thickBo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</row>
    <row r="875" spans="1:11" ht="15" thickBo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</row>
    <row r="876" spans="1:11" ht="15" thickBo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</row>
    <row r="877" spans="1:11" ht="15" thickBo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</row>
    <row r="878" spans="1:11" ht="15" thickBo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</row>
    <row r="879" spans="1:11" ht="15" thickBo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</row>
    <row r="880" spans="1:11" ht="15" thickBo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</row>
    <row r="881" spans="1:11" ht="15" thickBo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</row>
    <row r="882" spans="1:11" ht="15" thickBo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</row>
    <row r="883" spans="1:11" ht="15" thickBo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</row>
    <row r="884" spans="1:11" ht="15" thickBo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</row>
    <row r="885" spans="1:11" ht="15" thickBo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</row>
    <row r="886" spans="1:11" ht="15" thickBo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</row>
    <row r="887" spans="1:11" ht="15" thickBo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</row>
    <row r="888" spans="1:11" ht="15" thickBo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</row>
    <row r="889" spans="1:11" ht="15" thickBo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</row>
    <row r="890" spans="1:11" ht="15" thickBo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</row>
    <row r="891" spans="1:11" ht="15" thickBo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</row>
    <row r="892" spans="1:11" ht="15" thickBo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</row>
    <row r="893" spans="1:11" ht="15" thickBo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</row>
    <row r="894" spans="1:11" ht="15" thickBo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</row>
    <row r="895" spans="1:11" ht="15" thickBo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</row>
    <row r="896" spans="1:11" ht="15" thickBo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</row>
    <row r="897" spans="1:11" ht="15" thickBo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</row>
    <row r="898" spans="1:11" ht="15" thickBo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</row>
    <row r="899" spans="1:11" ht="15" thickBo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</row>
    <row r="900" spans="1:11" ht="15" thickBo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</row>
    <row r="901" spans="1:11" ht="15" thickBo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</row>
    <row r="902" spans="1:11" ht="15" thickBo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</row>
    <row r="903" spans="1:11" ht="15" thickBo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</row>
    <row r="904" spans="1:11" ht="15" thickBo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</row>
    <row r="905" spans="1:11" ht="15" thickBo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</row>
    <row r="906" spans="1:11" ht="15" thickBo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</row>
  </sheetData>
  <sortState xmlns:xlrd2="http://schemas.microsoft.com/office/spreadsheetml/2017/richdata2" ref="A2:L1003">
    <sortCondition ref="A1:A1003"/>
  </sortState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Dados deformação.completo</vt:lpstr>
      <vt:lpstr>Deformação</vt:lpstr>
      <vt:lpstr>Tensão X deformação</vt:lpstr>
      <vt:lpstr>Planilha1</vt:lpstr>
      <vt:lpstr>Planilha2</vt:lpstr>
      <vt:lpstr>Dados completos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Luiz Diego Vidal Santos</cp:lastModifiedBy>
  <dcterms:created xsi:type="dcterms:W3CDTF">2011-08-01T14:22:18Z</dcterms:created>
  <dcterms:modified xsi:type="dcterms:W3CDTF">2024-04-30T00:11:04Z</dcterms:modified>
</cp:coreProperties>
</file>