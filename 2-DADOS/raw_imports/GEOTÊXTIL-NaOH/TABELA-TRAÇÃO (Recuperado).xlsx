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iente\Desktop\GEONaOH-TRAÇÃO\"/>
    </mc:Choice>
  </mc:AlternateContent>
  <bookViews>
    <workbookView xWindow="0" yWindow="0" windowWidth="10572" windowHeight="8784" activeTab="1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4" i="1" l="1"/>
  <c r="H133" i="1"/>
  <c r="H132" i="1"/>
  <c r="H131" i="1"/>
  <c r="H130" i="1"/>
  <c r="H129" i="1"/>
  <c r="H128" i="1"/>
  <c r="H127" i="1"/>
  <c r="H126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K96" i="1"/>
  <c r="H96" i="1"/>
  <c r="K95" i="1"/>
  <c r="H95" i="1"/>
  <c r="K94" i="1"/>
  <c r="H94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<sst xmlns="http://schemas.openxmlformats.org/spreadsheetml/2006/main" count="280" uniqueCount="29">
  <si>
    <t>GEOTÊXTIL</t>
  </si>
  <si>
    <t>TRATAMENTO</t>
  </si>
  <si>
    <t>DIAS</t>
  </si>
  <si>
    <t>REPETIÇÃO</t>
  </si>
  <si>
    <t>MÁXIMA CARGA (N)</t>
  </si>
  <si>
    <t>ESFORÇO À TRAÇÃO (MPa)</t>
  </si>
  <si>
    <t>T0</t>
  </si>
  <si>
    <t>T1</t>
  </si>
  <si>
    <t>T2</t>
  </si>
  <si>
    <t>T3</t>
  </si>
  <si>
    <t>O0</t>
  </si>
  <si>
    <t>O1</t>
  </si>
  <si>
    <t>O2</t>
  </si>
  <si>
    <t>O3</t>
  </si>
  <si>
    <t>x</t>
  </si>
  <si>
    <t>Tratamento</t>
  </si>
  <si>
    <t>Oo</t>
  </si>
  <si>
    <t>Média(N)</t>
  </si>
  <si>
    <t>DIÂMETRO DA FIBRA</t>
  </si>
  <si>
    <t>TENSÃO A RUPTURA</t>
  </si>
  <si>
    <t>DEFORMAÇÃO</t>
  </si>
  <si>
    <t>X</t>
  </si>
  <si>
    <t>MÉDIA</t>
  </si>
  <si>
    <t>30 DIAS</t>
  </si>
  <si>
    <t>60 DIAS</t>
  </si>
  <si>
    <t>90 DIAS</t>
  </si>
  <si>
    <t>120 DIAS</t>
  </si>
  <si>
    <t>150 DIAS</t>
  </si>
  <si>
    <t xml:space="preserve">180 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</si>
</sst>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BE4D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5" borderId="0" xfId="0" applyFill="1"/>
    <xf numFmtId="0" fontId="0" fillId="8" borderId="0" xfId="0" applyFill="1"/>
    <xf numFmtId="0" fontId="0" fillId="6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9" borderId="1" xfId="0" applyFill="1" applyBorder="1" applyAlignment="1">
      <alignment horizontal="center" vertical="center"/>
    </xf>
    <xf numFmtId="9" fontId="0" fillId="9" borderId="1" xfId="0" applyNumberForma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9" fontId="0" fillId="10" borderId="1" xfId="0" applyNumberForma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9" fontId="0" fillId="11" borderId="1" xfId="0" applyNumberForma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9" fontId="1" fillId="3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9" fontId="1" fillId="4" borderId="1" xfId="0" applyNumberFormat="1" applyFont="1" applyFill="1" applyBorder="1" applyAlignment="1">
      <alignment horizontal="center" wrapText="1"/>
    </xf>
    <xf numFmtId="0" fontId="1" fillId="13" borderId="1" xfId="0" applyFont="1" applyFill="1" applyBorder="1" applyAlignment="1">
      <alignment horizontal="center" wrapText="1"/>
    </xf>
    <xf numFmtId="9" fontId="1" fillId="13" borderId="1" xfId="0" applyNumberFormat="1" applyFont="1" applyFill="1" applyBorder="1" applyAlignment="1">
      <alignment horizontal="center" wrapText="1"/>
    </xf>
    <xf numFmtId="0" fontId="1" fillId="14" borderId="1" xfId="0" applyFont="1" applyFill="1" applyBorder="1" applyAlignment="1">
      <alignment horizontal="center" wrapText="1"/>
    </xf>
    <xf numFmtId="9" fontId="1" fillId="14" borderId="1" xfId="0" applyNumberFormat="1" applyFont="1" applyFill="1" applyBorder="1" applyAlignment="1">
      <alignment horizontal="center" wrapText="1"/>
    </xf>
    <xf numFmtId="0" fontId="1" fillId="15" borderId="1" xfId="0" applyFont="1" applyFill="1" applyBorder="1" applyAlignment="1">
      <alignment horizontal="center" wrapText="1"/>
    </xf>
    <xf numFmtId="9" fontId="1" fillId="15" borderId="1" xfId="0" applyNumberFormat="1" applyFont="1" applyFill="1" applyBorder="1" applyAlignment="1">
      <alignment horizontal="center" wrapText="1"/>
    </xf>
    <xf numFmtId="0" fontId="0" fillId="12" borderId="0" xfId="0" applyFill="1"/>
    <xf numFmtId="0" fontId="0" fillId="7" borderId="0" xfId="0" applyFill="1"/>
    <xf numFmtId="0" fontId="0" fillId="12" borderId="1" xfId="0" applyFill="1" applyBorder="1" applyAlignment="1">
      <alignment horizontal="center" vertical="center"/>
    </xf>
    <xf numFmtId="9" fontId="0" fillId="12" borderId="1" xfId="0" applyNumberForma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wrapText="1"/>
    </xf>
    <xf numFmtId="0" fontId="0" fillId="4" borderId="1" xfId="0" applyFill="1" applyBorder="1" applyAlignment="1">
      <alignment horizontal="center"/>
    </xf>
    <xf numFmtId="0" fontId="1" fillId="17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 wrapText="1"/>
    </xf>
    <xf numFmtId="0" fontId="0" fillId="13" borderId="1" xfId="0" applyFill="1" applyBorder="1" applyAlignment="1">
      <alignment horizontal="center"/>
    </xf>
    <xf numFmtId="0" fontId="1" fillId="18" borderId="1" xfId="0" applyFont="1" applyFill="1" applyBorder="1" applyAlignment="1">
      <alignment horizontal="center" wrapText="1"/>
    </xf>
    <xf numFmtId="9" fontId="1" fillId="18" borderId="1" xfId="0" applyNumberFormat="1" applyFont="1" applyFill="1" applyBorder="1" applyAlignment="1">
      <alignment horizontal="center" wrapText="1"/>
    </xf>
    <xf numFmtId="0" fontId="0" fillId="18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2" fillId="17" borderId="1" xfId="0" applyFont="1" applyFill="1" applyBorder="1" applyAlignment="1">
      <alignment horizontal="center" vertical="center"/>
    </xf>
    <xf numFmtId="9" fontId="2" fillId="17" borderId="1" xfId="0" applyNumberFormat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 wrapText="1"/>
    </xf>
    <xf numFmtId="0" fontId="0" fillId="10" borderId="1" xfId="0" applyFill="1" applyBorder="1" applyAlignment="1">
      <alignment horizontal="center"/>
    </xf>
    <xf numFmtId="0" fontId="1" fillId="19" borderId="1" xfId="0" applyFont="1" applyFill="1" applyBorder="1" applyAlignment="1">
      <alignment horizontal="center" wrapText="1"/>
    </xf>
    <xf numFmtId="0" fontId="0" fillId="19" borderId="1" xfId="0" applyFill="1" applyBorder="1" applyAlignment="1">
      <alignment horizontal="center"/>
    </xf>
    <xf numFmtId="0" fontId="1" fillId="11" borderId="1" xfId="0" applyFont="1" applyFill="1" applyBorder="1" applyAlignment="1">
      <alignment horizontal="center" wrapText="1"/>
    </xf>
    <xf numFmtId="0" fontId="0" fillId="11" borderId="1" xfId="0" applyFill="1" applyBorder="1" applyAlignment="1">
      <alignment horizontal="center"/>
    </xf>
    <xf numFmtId="0" fontId="1" fillId="12" borderId="1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0" borderId="6" xfId="0" applyFill="1" applyBorder="1" applyAlignment="1">
      <alignment wrapText="1"/>
    </xf>
    <xf numFmtId="0" fontId="0" fillId="21" borderId="7" xfId="0" applyFill="1" applyBorder="1" applyAlignment="1">
      <alignment horizontal="right" wrapText="1"/>
    </xf>
    <xf numFmtId="0" fontId="0" fillId="22" borderId="6" xfId="0" applyFill="1" applyBorder="1" applyAlignment="1">
      <alignment wrapText="1"/>
    </xf>
    <xf numFmtId="0" fontId="0" fillId="23" borderId="6" xfId="0" applyFill="1" applyBorder="1" applyAlignment="1">
      <alignment wrapText="1"/>
    </xf>
    <xf numFmtId="0" fontId="0" fillId="24" borderId="6" xfId="0" applyFill="1" applyBorder="1" applyAlignment="1">
      <alignment wrapText="1"/>
    </xf>
    <xf numFmtId="0" fontId="0" fillId="15" borderId="6" xfId="0" applyFill="1" applyBorder="1" applyAlignment="1">
      <alignment wrapText="1"/>
    </xf>
    <xf numFmtId="0" fontId="0" fillId="16" borderId="6" xfId="0" applyFill="1" applyBorder="1" applyAlignment="1">
      <alignment wrapText="1"/>
    </xf>
    <xf numFmtId="0" fontId="0" fillId="25" borderId="8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  <color rgb="FFFF99FF"/>
      <color rgb="FFCC00FF"/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MÁXIMA CARGA - 30 DIAS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Planilha1!$J$77:$J$80</c:f>
              <c:strCache>
                <c:ptCount val="4"/>
                <c:pt idx="0">
                  <c:v>Oo</c:v>
                </c:pt>
                <c:pt idx="1">
                  <c:v>O1</c:v>
                </c:pt>
                <c:pt idx="2">
                  <c:v>O2</c:v>
                </c:pt>
                <c:pt idx="3">
                  <c:v>O3</c:v>
                </c:pt>
              </c:strCache>
            </c:strRef>
          </c:cat>
          <c:val>
            <c:numRef>
              <c:f>Planilha1!$K$77:$K$80</c:f>
              <c:numCache>
                <c:formatCode>General</c:formatCode>
                <c:ptCount val="4"/>
                <c:pt idx="0">
                  <c:v>175.92337666666666</c:v>
                </c:pt>
                <c:pt idx="1">
                  <c:v>105.81523666666665</c:v>
                </c:pt>
                <c:pt idx="2">
                  <c:v>83.397213333333326</c:v>
                </c:pt>
                <c:pt idx="3">
                  <c:v>96.055403333333331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3-4C59-85F6-2AE32CCC9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357144"/>
        <c:axId val="386356160"/>
      </c:barChart>
      <c:catAx>
        <c:axId val="38635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6356160"/>
        <c:crosses val="autoZero"/>
        <c:auto val="1"/>
        <c:lblAlgn val="ctr"/>
        <c:lblOffset val="100"/>
        <c:noMultiLvlLbl val="0"/>
      </c:catAx>
      <c:valAx>
        <c:axId val="38635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6357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MÁXIMA CARGA - 60 DIAS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Planilha1!$J$81:$J$84</c:f>
              <c:strCache>
                <c:ptCount val="4"/>
                <c:pt idx="0">
                  <c:v>O0</c:v>
                </c:pt>
                <c:pt idx="1">
                  <c:v>O1</c:v>
                </c:pt>
                <c:pt idx="2">
                  <c:v>O2</c:v>
                </c:pt>
                <c:pt idx="3">
                  <c:v>O3</c:v>
                </c:pt>
              </c:strCache>
            </c:strRef>
          </c:cat>
          <c:val>
            <c:numRef>
              <c:f>Planilha1!$K$81:$K$84</c:f>
              <c:numCache>
                <c:formatCode>General</c:formatCode>
                <c:ptCount val="4"/>
                <c:pt idx="0">
                  <c:v>14.333256666666665</c:v>
                </c:pt>
                <c:pt idx="1">
                  <c:v>18.388736666666667</c:v>
                </c:pt>
                <c:pt idx="2">
                  <c:v>46.459363333333329</c:v>
                </c:pt>
                <c:pt idx="3">
                  <c:v>48.358669999999996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D-4AEB-8574-3BE236502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012704"/>
        <c:axId val="381013032"/>
      </c:barChart>
      <c:catAx>
        <c:axId val="3810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1013032"/>
        <c:crosses val="autoZero"/>
        <c:auto val="1"/>
        <c:lblAlgn val="ctr"/>
        <c:lblOffset val="100"/>
        <c:noMultiLvlLbl val="0"/>
      </c:catAx>
      <c:valAx>
        <c:axId val="38101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101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MÁXIMA CARGA - 90</a:t>
            </a:r>
            <a:r>
              <a:rPr lang="en-US" baseline="0"/>
              <a:t> DIAS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Planilha1!$J$85:$J$88</c:f>
              <c:strCache>
                <c:ptCount val="4"/>
                <c:pt idx="0">
                  <c:v>O0</c:v>
                </c:pt>
                <c:pt idx="1">
                  <c:v>O1</c:v>
                </c:pt>
                <c:pt idx="2">
                  <c:v>O2</c:v>
                </c:pt>
                <c:pt idx="3">
                  <c:v>O3</c:v>
                </c:pt>
              </c:strCache>
            </c:strRef>
          </c:cat>
          <c:val>
            <c:numRef>
              <c:f>Planilha1!$K$85:$K$88</c:f>
              <c:numCache>
                <c:formatCode>General</c:formatCode>
                <c:ptCount val="4"/>
                <c:pt idx="0">
                  <c:v>5.880209999999999</c:v>
                </c:pt>
                <c:pt idx="1">
                  <c:v>9.4787933333333338</c:v>
                </c:pt>
                <c:pt idx="2">
                  <c:v>7.6462933333333334</c:v>
                </c:pt>
                <c:pt idx="3">
                  <c:v>37.099773333333339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E-4033-88EA-03BFB37F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643160"/>
        <c:axId val="451642504"/>
      </c:barChart>
      <c:catAx>
        <c:axId val="45164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642504"/>
        <c:crosses val="autoZero"/>
        <c:auto val="1"/>
        <c:lblAlgn val="ctr"/>
        <c:lblOffset val="100"/>
        <c:noMultiLvlLbl val="0"/>
      </c:catAx>
      <c:valAx>
        <c:axId val="45164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643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MÁXIMA CARGA - 120 DIAS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Planilha1!$J$89:$J$92</c:f>
              <c:strCache>
                <c:ptCount val="4"/>
                <c:pt idx="0">
                  <c:v>O0</c:v>
                </c:pt>
                <c:pt idx="1">
                  <c:v>O1</c:v>
                </c:pt>
                <c:pt idx="2">
                  <c:v>O2</c:v>
                </c:pt>
                <c:pt idx="3">
                  <c:v>O3</c:v>
                </c:pt>
              </c:strCache>
            </c:strRef>
          </c:cat>
          <c:val>
            <c:numRef>
              <c:f>Planilha1!$K$89:$K$92</c:f>
              <c:numCache>
                <c:formatCode>General</c:formatCode>
                <c:ptCount val="4"/>
                <c:pt idx="0">
                  <c:v>3.4573866666666664</c:v>
                </c:pt>
                <c:pt idx="1">
                  <c:v>4.3492899999999999</c:v>
                </c:pt>
                <c:pt idx="2">
                  <c:v>2.4803999999999999</c:v>
                </c:pt>
                <c:pt idx="3">
                  <c:v>2.1343766666666668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3-4A75-B2D5-5A3463C40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805440"/>
        <c:axId val="383805768"/>
      </c:barChart>
      <c:catAx>
        <c:axId val="38380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3805768"/>
        <c:crosses val="autoZero"/>
        <c:auto val="1"/>
        <c:lblAlgn val="ctr"/>
        <c:lblOffset val="100"/>
        <c:noMultiLvlLbl val="0"/>
      </c:catAx>
      <c:valAx>
        <c:axId val="38380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380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MÁXIMA CARGA - 150 DIAS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Planilha1!$J$93:$J$96</c:f>
              <c:strCache>
                <c:ptCount val="4"/>
                <c:pt idx="0">
                  <c:v>O0</c:v>
                </c:pt>
                <c:pt idx="1">
                  <c:v>O1</c:v>
                </c:pt>
                <c:pt idx="2">
                  <c:v>O2</c:v>
                </c:pt>
                <c:pt idx="3">
                  <c:v>O3</c:v>
                </c:pt>
              </c:strCache>
            </c:strRef>
          </c:cat>
          <c:val>
            <c:numRef>
              <c:f>Planilha1!$K$93:$K$96</c:f>
              <c:numCache>
                <c:formatCode>General</c:formatCode>
                <c:ptCount val="4"/>
                <c:pt idx="0">
                  <c:v>0</c:v>
                </c:pt>
                <c:pt idx="1">
                  <c:v>2.9794466666666666</c:v>
                </c:pt>
                <c:pt idx="2">
                  <c:v>0.79424666666666655</c:v>
                </c:pt>
                <c:pt idx="3">
                  <c:v>4.1563033333333328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0-4344-A949-E235C2363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345336"/>
        <c:axId val="386343696"/>
      </c:barChart>
      <c:catAx>
        <c:axId val="386345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6343696"/>
        <c:crosses val="autoZero"/>
        <c:auto val="1"/>
        <c:lblAlgn val="ctr"/>
        <c:lblOffset val="100"/>
        <c:noMultiLvlLbl val="0"/>
      </c:catAx>
      <c:valAx>
        <c:axId val="38634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6345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TENSÃO</a:t>
            </a:r>
            <a:r>
              <a:rPr lang="en-US" baseline="0"/>
              <a:t> À RUPTURA-30 DIAS</a:t>
            </a:r>
            <a:endParaRPr lang="en-US"/>
          </a:p>
        </c:rich>
      </c:tx>
      <c:layout>
        <c:manualLayout>
          <c:xMode val="edge"/>
          <c:yMode val="edge"/>
          <c:x val="0.15499044762261857"/>
          <c:y val="3.15089639218826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Planilha1!$K$1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C0-4E87-A536-967593591F75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C0-4E87-A536-967593591F75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0C0-4E87-A536-967593591F75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C0-4E87-A536-967593591F75}"/>
              </c:ext>
            </c:extLst>
          </c:dPt>
          <c:cat>
            <c:strRef>
              <c:f>Planilha1!$J$2:$J$5</c:f>
              <c:strCache>
                <c:ptCount val="4"/>
                <c:pt idx="0">
                  <c:v>T0</c:v>
                </c:pt>
                <c:pt idx="1">
                  <c:v>T1</c:v>
                </c:pt>
                <c:pt idx="2">
                  <c:v>T2</c:v>
                </c:pt>
                <c:pt idx="3">
                  <c:v>T3</c:v>
                </c:pt>
              </c:strCache>
            </c:strRef>
          </c:cat>
          <c:val>
            <c:numRef>
              <c:f>Planilha1!$K$2:$K$5</c:f>
              <c:numCache>
                <c:formatCode>General</c:formatCode>
                <c:ptCount val="4"/>
                <c:pt idx="0">
                  <c:v>994.12769430000003</c:v>
                </c:pt>
                <c:pt idx="1">
                  <c:v>728.52030569999999</c:v>
                </c:pt>
                <c:pt idx="2">
                  <c:v>395.01332480000002</c:v>
                </c:pt>
                <c:pt idx="3">
                  <c:v>314.61343950000003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0-4E87-A536-967593591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777328"/>
        <c:axId val="442777984"/>
      </c:lineChart>
      <c:catAx>
        <c:axId val="44277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777984"/>
        <c:crosses val="autoZero"/>
        <c:auto val="1"/>
        <c:lblAlgn val="ctr"/>
        <c:lblOffset val="100"/>
        <c:noMultiLvlLbl val="0"/>
      </c:catAx>
      <c:valAx>
        <c:axId val="44277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77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TENSÃO À RUPTURA-60 DIAS</a:t>
            </a:r>
            <a:endParaRPr lang="pt-BR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Planilha1!$J$6:$J$9</c:f>
              <c:strCache>
                <c:ptCount val="4"/>
                <c:pt idx="0">
                  <c:v>T0</c:v>
                </c:pt>
                <c:pt idx="1">
                  <c:v>T1</c:v>
                </c:pt>
                <c:pt idx="2">
                  <c:v>T2</c:v>
                </c:pt>
                <c:pt idx="3">
                  <c:v>T3</c:v>
                </c:pt>
              </c:strCache>
            </c:strRef>
          </c:cat>
          <c:val>
            <c:numRef>
              <c:f>Planilha1!$K$6:$K$9</c:f>
              <c:numCache>
                <c:formatCode>General</c:formatCode>
                <c:ptCount val="4"/>
                <c:pt idx="0">
                  <c:v>909.29640759999995</c:v>
                </c:pt>
                <c:pt idx="1">
                  <c:v>422.78969430000001</c:v>
                </c:pt>
                <c:pt idx="2">
                  <c:v>453.22643310000001</c:v>
                </c:pt>
                <c:pt idx="3">
                  <c:v>295.33364330000001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C-41FC-BFCC-5552057A7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762904"/>
        <c:axId val="442757000"/>
      </c:lineChart>
      <c:catAx>
        <c:axId val="442762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757000"/>
        <c:crosses val="autoZero"/>
        <c:auto val="1"/>
        <c:lblAlgn val="ctr"/>
        <c:lblOffset val="100"/>
        <c:noMultiLvlLbl val="0"/>
      </c:catAx>
      <c:valAx>
        <c:axId val="44275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762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TENSÃO À RUPTURA-90 DIAS</a:t>
            </a:r>
            <a:endParaRPr lang="pt-BR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layout>
        <c:manualLayout>
          <c:xMode val="edge"/>
          <c:yMode val="edge"/>
          <c:x val="0.16698354778823379"/>
          <c:y val="5.5108822935594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Planilha1!$J$10:$J$13</c:f>
              <c:strCache>
                <c:ptCount val="4"/>
                <c:pt idx="0">
                  <c:v>T0</c:v>
                </c:pt>
                <c:pt idx="1">
                  <c:v>T1</c:v>
                </c:pt>
                <c:pt idx="2">
                  <c:v>T2</c:v>
                </c:pt>
                <c:pt idx="3">
                  <c:v>T3</c:v>
                </c:pt>
              </c:strCache>
            </c:strRef>
          </c:cat>
          <c:val>
            <c:numRef>
              <c:f>Planilha1!$K$10:$K$13</c:f>
              <c:numCache>
                <c:formatCode>General</c:formatCode>
                <c:ptCount val="4"/>
                <c:pt idx="0">
                  <c:v>532.67228030000001</c:v>
                </c:pt>
                <c:pt idx="1">
                  <c:v>460.86194899999998</c:v>
                </c:pt>
                <c:pt idx="2">
                  <c:v>412.62573250000003</c:v>
                </c:pt>
                <c:pt idx="3">
                  <c:v>220.0159108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C-49A0-BB00-9804F4C2A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782576"/>
        <c:axId val="442780280"/>
      </c:lineChart>
      <c:catAx>
        <c:axId val="44278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780280"/>
        <c:crosses val="autoZero"/>
        <c:auto val="1"/>
        <c:lblAlgn val="ctr"/>
        <c:lblOffset val="100"/>
        <c:noMultiLvlLbl val="0"/>
      </c:catAx>
      <c:valAx>
        <c:axId val="44278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78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TENSÃO À RUPTURA-120 DIAS</a:t>
            </a:r>
            <a:endParaRPr lang="pt-BR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Planilha1!$J$14:$J$17</c:f>
              <c:strCache>
                <c:ptCount val="4"/>
                <c:pt idx="0">
                  <c:v>T0</c:v>
                </c:pt>
                <c:pt idx="1">
                  <c:v>T1</c:v>
                </c:pt>
                <c:pt idx="2">
                  <c:v>T2</c:v>
                </c:pt>
                <c:pt idx="3">
                  <c:v>T3</c:v>
                </c:pt>
              </c:strCache>
            </c:strRef>
          </c:cat>
          <c:val>
            <c:numRef>
              <c:f>Planilha1!$K$14:$K$17</c:f>
              <c:numCache>
                <c:formatCode>General</c:formatCode>
                <c:ptCount val="4"/>
                <c:pt idx="0">
                  <c:v>605.45377069999995</c:v>
                </c:pt>
                <c:pt idx="1">
                  <c:v>218.2246624</c:v>
                </c:pt>
                <c:pt idx="2">
                  <c:v>250.24307010000001</c:v>
                </c:pt>
                <c:pt idx="3">
                  <c:v>143.34099359999999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3-45A6-8DD6-AE4C5A498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059224"/>
        <c:axId val="228062176"/>
      </c:lineChart>
      <c:catAx>
        <c:axId val="22805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8062176"/>
        <c:crosses val="autoZero"/>
        <c:auto val="1"/>
        <c:lblAlgn val="ctr"/>
        <c:lblOffset val="100"/>
        <c:noMultiLvlLbl val="0"/>
      </c:catAx>
      <c:valAx>
        <c:axId val="22806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8059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TENSÃO À RUPTURA-150 DIAS</a:t>
            </a:r>
            <a:endParaRPr lang="pt-BR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Planilha1!$J$18:$J$21</c:f>
              <c:strCache>
                <c:ptCount val="4"/>
                <c:pt idx="0">
                  <c:v>T0</c:v>
                </c:pt>
                <c:pt idx="1">
                  <c:v>T1</c:v>
                </c:pt>
                <c:pt idx="2">
                  <c:v>T2</c:v>
                </c:pt>
                <c:pt idx="3">
                  <c:v>T3</c:v>
                </c:pt>
              </c:strCache>
            </c:strRef>
          </c:cat>
          <c:val>
            <c:numRef>
              <c:f>Planilha1!$K$18:$K$21</c:f>
              <c:numCache>
                <c:formatCode>General</c:formatCode>
                <c:ptCount val="4"/>
                <c:pt idx="0">
                  <c:v>426.43375800000001</c:v>
                </c:pt>
                <c:pt idx="1">
                  <c:v>206.3055669</c:v>
                </c:pt>
                <c:pt idx="2">
                  <c:v>346.11332479999999</c:v>
                </c:pt>
                <c:pt idx="3">
                  <c:v>144.24756690000001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22-4249-ABF8-F4C017B55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193696"/>
        <c:axId val="441197304"/>
      </c:lineChart>
      <c:catAx>
        <c:axId val="44119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1197304"/>
        <c:crosses val="autoZero"/>
        <c:auto val="1"/>
        <c:lblAlgn val="ctr"/>
        <c:lblOffset val="100"/>
        <c:noMultiLvlLbl val="0"/>
      </c:catAx>
      <c:valAx>
        <c:axId val="441197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119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TENSÃO À RUPTURA-180 DIAS</a:t>
            </a:r>
            <a:endParaRPr lang="pt-BR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Planilha1!$J$22:$J$25</c:f>
              <c:strCache>
                <c:ptCount val="4"/>
                <c:pt idx="0">
                  <c:v>T0</c:v>
                </c:pt>
                <c:pt idx="1">
                  <c:v>T1</c:v>
                </c:pt>
                <c:pt idx="2">
                  <c:v>T2</c:v>
                </c:pt>
                <c:pt idx="3">
                  <c:v>T3</c:v>
                </c:pt>
              </c:strCache>
            </c:strRef>
          </c:cat>
          <c:val>
            <c:numRef>
              <c:f>Planilha1!$K$22:$K$25</c:f>
              <c:numCache>
                <c:formatCode>General</c:formatCode>
                <c:ptCount val="4"/>
                <c:pt idx="0">
                  <c:v>293.04298089999998</c:v>
                </c:pt>
                <c:pt idx="1">
                  <c:v>162.39840760000001</c:v>
                </c:pt>
                <c:pt idx="2">
                  <c:v>52.736407640000003</c:v>
                </c:pt>
                <c:pt idx="3">
                  <c:v>75.362751590000002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05-4A59-91DC-9FA06A127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606280"/>
        <c:axId val="454613168"/>
      </c:lineChart>
      <c:catAx>
        <c:axId val="454606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4613168"/>
        <c:crosses val="autoZero"/>
        <c:auto val="1"/>
        <c:lblAlgn val="ctr"/>
        <c:lblOffset val="100"/>
        <c:noMultiLvlLbl val="0"/>
      </c:catAx>
      <c:valAx>
        <c:axId val="45461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4606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TENSÃO</a:t>
            </a:r>
            <a:r>
              <a:rPr lang="pt-BR" baseline="0"/>
              <a:t> Á RUPTURA-TABOA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Planilha2!$A$2</c:f>
              <c:strCache>
                <c:ptCount val="1"/>
                <c:pt idx="0">
                  <c:v>T0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Planilha2!$B$1:$G$1</c:f>
              <c:strCache>
                <c:ptCount val="6"/>
                <c:pt idx="0">
                  <c:v>30 DIAS</c:v>
                </c:pt>
                <c:pt idx="1">
                  <c:v>60 DIAS</c:v>
                </c:pt>
                <c:pt idx="2">
                  <c:v>90 DIAS</c:v>
                </c:pt>
                <c:pt idx="3">
                  <c:v>120 DIAS</c:v>
                </c:pt>
                <c:pt idx="4">
                  <c:v>150 DIAS</c:v>
                </c:pt>
                <c:pt idx="5">
                  <c:v>180 DIAS </c:v>
                </c:pt>
              </c:strCache>
            </c:strRef>
          </c:cat>
          <c:val>
            <c:numRef>
              <c:f>Planilha2!$B$2:$G$2</c:f>
              <c:numCache>
                <c:formatCode>General</c:formatCode>
                <c:ptCount val="6"/>
                <c:pt idx="0">
                  <c:v>994.12769430000003</c:v>
                </c:pt>
                <c:pt idx="1">
                  <c:v>909.29640759999995</c:v>
                </c:pt>
                <c:pt idx="2">
                  <c:v>532.67228030000001</c:v>
                </c:pt>
                <c:pt idx="3">
                  <c:v>605.45377069999995</c:v>
                </c:pt>
                <c:pt idx="4">
                  <c:v>426.43375800000001</c:v>
                </c:pt>
                <c:pt idx="5">
                  <c:v>293.04298089999998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E6-4A48-836E-09E9E38ECB09}"/>
            </c:ext>
          </c:extLst>
        </c:ser>
        <c:ser>
          <c:idx val="1"/>
          <c:order val="1"/>
          <c:tx>
            <c:strRef>
              <c:f>Planilha2!$A$3</c:f>
              <c:strCache>
                <c:ptCount val="1"/>
                <c:pt idx="0">
                  <c:v>T1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Planilha2!$B$1:$G$1</c:f>
              <c:strCache>
                <c:ptCount val="6"/>
                <c:pt idx="0">
                  <c:v>30 DIAS</c:v>
                </c:pt>
                <c:pt idx="1">
                  <c:v>60 DIAS</c:v>
                </c:pt>
                <c:pt idx="2">
                  <c:v>90 DIAS</c:v>
                </c:pt>
                <c:pt idx="3">
                  <c:v>120 DIAS</c:v>
                </c:pt>
                <c:pt idx="4">
                  <c:v>150 DIAS</c:v>
                </c:pt>
                <c:pt idx="5">
                  <c:v>180 DIAS </c:v>
                </c:pt>
              </c:strCache>
            </c:strRef>
          </c:cat>
          <c:val>
            <c:numRef>
              <c:f>Planilha2!$B$3:$G$3</c:f>
              <c:numCache>
                <c:formatCode>General</c:formatCode>
                <c:ptCount val="6"/>
                <c:pt idx="0">
                  <c:v>728.52030569999999</c:v>
                </c:pt>
                <c:pt idx="1">
                  <c:v>422.78969430000001</c:v>
                </c:pt>
                <c:pt idx="2">
                  <c:v>460.86194899999998</c:v>
                </c:pt>
                <c:pt idx="3">
                  <c:v>218.2246624</c:v>
                </c:pt>
                <c:pt idx="4">
                  <c:v>206.3055669</c:v>
                </c:pt>
                <c:pt idx="5">
                  <c:v>162.39840760000001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E6-4A48-836E-09E9E38ECB09}"/>
            </c:ext>
          </c:extLst>
        </c:ser>
        <c:ser>
          <c:idx val="2"/>
          <c:order val="2"/>
          <c:tx>
            <c:strRef>
              <c:f>Planilha2!$A$4</c:f>
              <c:strCache>
                <c:ptCount val="1"/>
                <c:pt idx="0">
                  <c:v>T2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Planilha2!$B$1:$G$1</c:f>
              <c:strCache>
                <c:ptCount val="6"/>
                <c:pt idx="0">
                  <c:v>30 DIAS</c:v>
                </c:pt>
                <c:pt idx="1">
                  <c:v>60 DIAS</c:v>
                </c:pt>
                <c:pt idx="2">
                  <c:v>90 DIAS</c:v>
                </c:pt>
                <c:pt idx="3">
                  <c:v>120 DIAS</c:v>
                </c:pt>
                <c:pt idx="4">
                  <c:v>150 DIAS</c:v>
                </c:pt>
                <c:pt idx="5">
                  <c:v>180 DIAS </c:v>
                </c:pt>
              </c:strCache>
            </c:strRef>
          </c:cat>
          <c:val>
            <c:numRef>
              <c:f>Planilha2!$B$4:$G$4</c:f>
              <c:numCache>
                <c:formatCode>General</c:formatCode>
                <c:ptCount val="6"/>
                <c:pt idx="0">
                  <c:v>395.01332480000002</c:v>
                </c:pt>
                <c:pt idx="1">
                  <c:v>453.22643310000001</c:v>
                </c:pt>
                <c:pt idx="2">
                  <c:v>412.62573250000003</c:v>
                </c:pt>
                <c:pt idx="3">
                  <c:v>250.24307010000001</c:v>
                </c:pt>
                <c:pt idx="4">
                  <c:v>346.11332479999999</c:v>
                </c:pt>
                <c:pt idx="5">
                  <c:v>52.736407640000003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E6-4A48-836E-09E9E38ECB09}"/>
            </c:ext>
          </c:extLst>
        </c:ser>
        <c:ser>
          <c:idx val="3"/>
          <c:order val="3"/>
          <c:tx>
            <c:strRef>
              <c:f>Planilha2!$A$5</c:f>
              <c:strCache>
                <c:ptCount val="1"/>
                <c:pt idx="0">
                  <c:v>T3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Planilha2!$B$1:$G$1</c:f>
              <c:strCache>
                <c:ptCount val="6"/>
                <c:pt idx="0">
                  <c:v>30 DIAS</c:v>
                </c:pt>
                <c:pt idx="1">
                  <c:v>60 DIAS</c:v>
                </c:pt>
                <c:pt idx="2">
                  <c:v>90 DIAS</c:v>
                </c:pt>
                <c:pt idx="3">
                  <c:v>120 DIAS</c:v>
                </c:pt>
                <c:pt idx="4">
                  <c:v>150 DIAS</c:v>
                </c:pt>
                <c:pt idx="5">
                  <c:v>180 DIAS </c:v>
                </c:pt>
              </c:strCache>
            </c:strRef>
          </c:cat>
          <c:val>
            <c:numRef>
              <c:f>Planilha2!$B$5:$G$5</c:f>
              <c:numCache>
                <c:formatCode>General</c:formatCode>
                <c:ptCount val="6"/>
                <c:pt idx="0">
                  <c:v>314.61343950000003</c:v>
                </c:pt>
                <c:pt idx="1">
                  <c:v>295.33364330000001</c:v>
                </c:pt>
                <c:pt idx="2">
                  <c:v>220.0159108</c:v>
                </c:pt>
                <c:pt idx="3">
                  <c:v>143.34099359999999</c:v>
                </c:pt>
                <c:pt idx="4">
                  <c:v>144.24756690000001</c:v>
                </c:pt>
                <c:pt idx="5">
                  <c:v>75.362751590000002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E6-4A48-836E-09E9E38EC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462544"/>
        <c:axId val="268464840"/>
      </c:lineChart>
      <c:catAx>
        <c:axId val="26846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8464840"/>
        <c:crosses val="autoZero"/>
        <c:auto val="1"/>
        <c:lblAlgn val="ctr"/>
        <c:lblOffset val="100"/>
        <c:noMultiLvlLbl val="0"/>
      </c:catAx>
      <c:valAx>
        <c:axId val="26846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846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137160</xdr:colOff>
      <xdr:row>74</xdr:row>
      <xdr:rowOff>11430</xdr:rowOff>
    </xdr:from>
    <xdr:to>
      <xdr:col>15</xdr:col>
      <xdr:colOff>495300</xdr:colOff>
      <xdr:row>84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594360</xdr:colOff>
      <xdr:row>74</xdr:row>
      <xdr:rowOff>3810</xdr:rowOff>
    </xdr:from>
    <xdr:to>
      <xdr:col>20</xdr:col>
      <xdr:colOff>548640</xdr:colOff>
      <xdr:row>84</xdr:row>
      <xdr:rowOff>15240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106680</xdr:colOff>
      <xdr:row>84</xdr:row>
      <xdr:rowOff>34290</xdr:rowOff>
    </xdr:from>
    <xdr:to>
      <xdr:col>15</xdr:col>
      <xdr:colOff>441960</xdr:colOff>
      <xdr:row>93</xdr:row>
      <xdr:rowOff>0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502920</xdr:colOff>
      <xdr:row>84</xdr:row>
      <xdr:rowOff>49530</xdr:rowOff>
    </xdr:from>
    <xdr:to>
      <xdr:col>20</xdr:col>
      <xdr:colOff>533400</xdr:colOff>
      <xdr:row>93</xdr:row>
      <xdr:rowOff>83820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83820</xdr:colOff>
      <xdr:row>93</xdr:row>
      <xdr:rowOff>87630</xdr:rowOff>
    </xdr:from>
    <xdr:to>
      <xdr:col>15</xdr:col>
      <xdr:colOff>457200</xdr:colOff>
      <xdr:row>103</xdr:row>
      <xdr:rowOff>175260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266700</xdr:colOff>
      <xdr:row>0</xdr:row>
      <xdr:rowOff>167640</xdr:rowOff>
    </xdr:from>
    <xdr:to>
      <xdr:col>16</xdr:col>
      <xdr:colOff>579120</xdr:colOff>
      <xdr:row>10</xdr:row>
      <xdr:rowOff>182880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251460</xdr:colOff>
      <xdr:row>11</xdr:row>
      <xdr:rowOff>64770</xdr:rowOff>
    </xdr:from>
    <xdr:to>
      <xdr:col>17</xdr:col>
      <xdr:colOff>91440</xdr:colOff>
      <xdr:row>22</xdr:row>
      <xdr:rowOff>160020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320040</xdr:colOff>
      <xdr:row>0</xdr:row>
      <xdr:rowOff>205740</xdr:rowOff>
    </xdr:from>
    <xdr:to>
      <xdr:col>23</xdr:col>
      <xdr:colOff>411480</xdr:colOff>
      <xdr:row>12</xdr:row>
      <xdr:rowOff>68580</xdr:rowOff>
    </xdr:to>
    <xdr:graphicFrame macro="">
      <xdr:nvGraphicFramePr>
        <xdr:cNvPr id="15" name="Grá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167640</xdr:colOff>
      <xdr:row>12</xdr:row>
      <xdr:rowOff>64770</xdr:rowOff>
    </xdr:from>
    <xdr:to>
      <xdr:col>24</xdr:col>
      <xdr:colOff>472440</xdr:colOff>
      <xdr:row>26</xdr:row>
      <xdr:rowOff>148590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167640</xdr:colOff>
      <xdr:row>23</xdr:row>
      <xdr:rowOff>87630</xdr:rowOff>
    </xdr:from>
    <xdr:to>
      <xdr:col>17</xdr:col>
      <xdr:colOff>358140</xdr:colOff>
      <xdr:row>36</xdr:row>
      <xdr:rowOff>91440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464820</xdr:colOff>
      <xdr:row>27</xdr:row>
      <xdr:rowOff>87630</xdr:rowOff>
    </xdr:from>
    <xdr:to>
      <xdr:col>25</xdr:col>
      <xdr:colOff>160020</xdr:colOff>
      <xdr:row>42</xdr:row>
      <xdr:rowOff>87630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0</xdr:row>
      <xdr:rowOff>0</xdr:rowOff>
    </xdr:from>
    <xdr:to>
      <xdr:col>16</xdr:col>
      <xdr:colOff>30480</xdr:colOff>
      <xdr:row>16</xdr:row>
      <xdr:rowOff>26670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6"/>
  <sheetViews>
    <sheetView topLeftCell="D73" workbookViewId="0">
      <selection activeCell="J2" sqref="J2:K25"/>
    </sheetView>
  </sheetViews>
  <sheetFormatPr defaultRowHeight="14.4" x14ac:dyDescent="0.3"/>
  <cols>
    <col min="1" max="1" width="14" customWidth="1"/>
    <col min="2" max="2" width="14.33203125" customWidth="1"/>
    <col min="4" max="4" width="13.5546875" customWidth="1"/>
    <col min="5" max="5" width="12.88671875" customWidth="1"/>
    <col min="6" max="6" width="13.44140625" customWidth="1"/>
    <col min="7" max="7" width="14.5546875" customWidth="1"/>
    <col min="8" max="8" width="15.44140625" customWidth="1"/>
    <col min="9" max="9" width="15.21875" customWidth="1"/>
    <col min="10" max="10" width="10.88671875" customWidth="1"/>
  </cols>
  <sheetData>
    <row r="1" spans="1:11" ht="40.799999999999997" thickBot="1" x14ac:dyDescent="0.35">
      <c r="A1" s="35" t="s">
        <v>0</v>
      </c>
      <c r="B1" s="35" t="s">
        <v>1</v>
      </c>
      <c r="C1" s="35" t="s">
        <v>2</v>
      </c>
      <c r="D1" s="35" t="s">
        <v>3</v>
      </c>
      <c r="E1" s="36" t="s">
        <v>4</v>
      </c>
      <c r="F1" s="36" t="s">
        <v>5</v>
      </c>
      <c r="G1" s="34" t="s">
        <v>18</v>
      </c>
      <c r="H1" s="34" t="s">
        <v>19</v>
      </c>
      <c r="I1" s="34" t="s">
        <v>20</v>
      </c>
      <c r="J1" s="61" t="s">
        <v>1</v>
      </c>
      <c r="K1" s="62" t="s">
        <v>22</v>
      </c>
    </row>
    <row r="2" spans="1:11" ht="15" thickBot="1" x14ac:dyDescent="0.35">
      <c r="A2" s="18" t="s">
        <v>6</v>
      </c>
      <c r="B2" s="19">
        <v>0</v>
      </c>
      <c r="C2" s="18">
        <v>30</v>
      </c>
      <c r="D2" s="18">
        <v>1</v>
      </c>
      <c r="E2" s="18">
        <v>70.930899999999994</v>
      </c>
      <c r="F2" s="18">
        <v>10.03467</v>
      </c>
      <c r="G2" s="18">
        <v>3</v>
      </c>
      <c r="H2" s="37">
        <f>(E2/0.785*(G2*G2))</f>
        <v>813.22050955413999</v>
      </c>
      <c r="I2" s="37">
        <v>4.3290000000000002E-2</v>
      </c>
      <c r="J2" s="63" t="s">
        <v>6</v>
      </c>
      <c r="K2" s="64">
        <v>994.12769430000003</v>
      </c>
    </row>
    <row r="3" spans="1:11" ht="15" thickBot="1" x14ac:dyDescent="0.35">
      <c r="A3" s="18" t="s">
        <v>6</v>
      </c>
      <c r="B3" s="19">
        <v>0</v>
      </c>
      <c r="C3" s="18">
        <v>30</v>
      </c>
      <c r="D3" s="18">
        <v>2</v>
      </c>
      <c r="E3" s="18">
        <v>92.419030000000006</v>
      </c>
      <c r="F3" s="18">
        <v>13.074619999999999</v>
      </c>
      <c r="G3" s="18">
        <v>3</v>
      </c>
      <c r="H3" s="37">
        <f t="shared" ref="H3:H66" si="0">(E3/0.785*(G3*G3))</f>
        <v>1059.58123566879</v>
      </c>
      <c r="I3" s="37">
        <v>3.4869999999999998E-2</v>
      </c>
      <c r="J3" s="63" t="s">
        <v>7</v>
      </c>
      <c r="K3" s="64">
        <v>728.52030569999999</v>
      </c>
    </row>
    <row r="4" spans="1:11" ht="15" thickBot="1" x14ac:dyDescent="0.35">
      <c r="A4" s="18" t="s">
        <v>6</v>
      </c>
      <c r="B4" s="19">
        <v>0</v>
      </c>
      <c r="C4" s="18">
        <v>30</v>
      </c>
      <c r="D4" s="18">
        <v>3</v>
      </c>
      <c r="E4" s="18">
        <v>96.780150000000006</v>
      </c>
      <c r="F4" s="18">
        <v>13.69159</v>
      </c>
      <c r="G4" s="18">
        <v>3</v>
      </c>
      <c r="H4" s="37">
        <f t="shared" si="0"/>
        <v>1109.5813375796179</v>
      </c>
      <c r="I4" s="37">
        <v>3.1579999999999997E-2</v>
      </c>
      <c r="J4" s="63" t="s">
        <v>8</v>
      </c>
      <c r="K4" s="64">
        <v>395.01332480000002</v>
      </c>
    </row>
    <row r="5" spans="1:11" ht="15" thickBot="1" x14ac:dyDescent="0.35">
      <c r="A5" s="18" t="s">
        <v>7</v>
      </c>
      <c r="B5" s="19">
        <v>0.03</v>
      </c>
      <c r="C5" s="18">
        <v>30</v>
      </c>
      <c r="D5" s="18">
        <v>1</v>
      </c>
      <c r="E5" s="18">
        <v>58.495660000000001</v>
      </c>
      <c r="F5" s="18">
        <v>8.2754399999999997</v>
      </c>
      <c r="G5" s="18">
        <v>3</v>
      </c>
      <c r="H5" s="37">
        <f t="shared" si="0"/>
        <v>670.65087898089166</v>
      </c>
      <c r="I5" s="37">
        <v>4.4209999999999999E-2</v>
      </c>
      <c r="J5" s="63" t="s">
        <v>9</v>
      </c>
      <c r="K5" s="64">
        <v>314.61343950000003</v>
      </c>
    </row>
    <row r="6" spans="1:11" ht="15" thickBot="1" x14ac:dyDescent="0.35">
      <c r="A6" s="18" t="s">
        <v>7</v>
      </c>
      <c r="B6" s="19">
        <v>0.03</v>
      </c>
      <c r="C6" s="18">
        <v>30</v>
      </c>
      <c r="D6" s="18">
        <v>2</v>
      </c>
      <c r="E6" s="18">
        <v>62.290770000000002</v>
      </c>
      <c r="F6" s="18">
        <v>8.8123400000000007</v>
      </c>
      <c r="G6" s="18">
        <v>3</v>
      </c>
      <c r="H6" s="37">
        <f t="shared" si="0"/>
        <v>714.16169426751594</v>
      </c>
      <c r="I6" s="37">
        <v>1.737E-2</v>
      </c>
      <c r="J6" s="65" t="s">
        <v>6</v>
      </c>
      <c r="K6" s="64">
        <v>909.29640759999995</v>
      </c>
    </row>
    <row r="7" spans="1:11" ht="15" thickBot="1" x14ac:dyDescent="0.35">
      <c r="A7" s="18" t="s">
        <v>7</v>
      </c>
      <c r="B7" s="19">
        <v>0.03</v>
      </c>
      <c r="C7" s="18">
        <v>30</v>
      </c>
      <c r="D7" s="18">
        <v>3</v>
      </c>
      <c r="E7" s="18">
        <v>69.843050000000005</v>
      </c>
      <c r="F7" s="18">
        <v>9.8807700000000001</v>
      </c>
      <c r="G7" s="18">
        <v>3</v>
      </c>
      <c r="H7" s="37">
        <f t="shared" si="0"/>
        <v>800.74834394904451</v>
      </c>
      <c r="I7" s="37">
        <v>3.4340000000000002E-2</v>
      </c>
      <c r="J7" s="65" t="s">
        <v>7</v>
      </c>
      <c r="K7" s="64">
        <v>422.78969430000001</v>
      </c>
    </row>
    <row r="8" spans="1:11" ht="15" thickBot="1" x14ac:dyDescent="0.35">
      <c r="A8" s="18" t="s">
        <v>8</v>
      </c>
      <c r="B8" s="19">
        <v>0.06</v>
      </c>
      <c r="C8" s="18">
        <v>30</v>
      </c>
      <c r="D8" s="18">
        <v>1</v>
      </c>
      <c r="E8" s="18">
        <v>37.699480000000001</v>
      </c>
      <c r="F8" s="18">
        <v>5.33338</v>
      </c>
      <c r="G8" s="18">
        <v>3</v>
      </c>
      <c r="H8" s="37">
        <f t="shared" si="0"/>
        <v>432.22333757961781</v>
      </c>
      <c r="I8" s="37">
        <v>5.1580000000000001E-2</v>
      </c>
      <c r="J8" s="65" t="s">
        <v>8</v>
      </c>
      <c r="K8" s="64">
        <v>453.22643310000001</v>
      </c>
    </row>
    <row r="9" spans="1:11" ht="15" thickBot="1" x14ac:dyDescent="0.35">
      <c r="A9" s="18" t="s">
        <v>8</v>
      </c>
      <c r="B9" s="19">
        <v>0.06</v>
      </c>
      <c r="C9" s="18">
        <v>30</v>
      </c>
      <c r="D9" s="18">
        <v>2</v>
      </c>
      <c r="E9" s="18">
        <v>40.030389999999997</v>
      </c>
      <c r="F9" s="18">
        <v>5.6631400000000003</v>
      </c>
      <c r="G9" s="18">
        <v>3</v>
      </c>
      <c r="H9" s="37">
        <f t="shared" si="0"/>
        <v>458.94714649681526</v>
      </c>
      <c r="I9" s="37">
        <v>6.4869999999999997E-2</v>
      </c>
      <c r="J9" s="65" t="s">
        <v>9</v>
      </c>
      <c r="K9" s="64">
        <v>295.33364330000001</v>
      </c>
    </row>
    <row r="10" spans="1:11" ht="15" thickBot="1" x14ac:dyDescent="0.35">
      <c r="A10" s="18" t="s">
        <v>8</v>
      </c>
      <c r="B10" s="19">
        <v>0.06</v>
      </c>
      <c r="C10" s="18">
        <v>30</v>
      </c>
      <c r="D10" s="18">
        <v>3</v>
      </c>
      <c r="E10" s="18">
        <v>25.63195</v>
      </c>
      <c r="F10" s="18">
        <v>3.6261800000000002</v>
      </c>
      <c r="G10" s="18">
        <v>3</v>
      </c>
      <c r="H10" s="37">
        <f t="shared" si="0"/>
        <v>293.86949044585987</v>
      </c>
      <c r="I10" s="37">
        <v>5.987E-2</v>
      </c>
      <c r="J10" s="66" t="s">
        <v>6</v>
      </c>
      <c r="K10" s="64">
        <v>532.67228030000001</v>
      </c>
    </row>
    <row r="11" spans="1:11" ht="15" thickBot="1" x14ac:dyDescent="0.35">
      <c r="A11" s="18" t="s">
        <v>9</v>
      </c>
      <c r="B11" s="19">
        <v>0.09</v>
      </c>
      <c r="C11" s="18">
        <v>30</v>
      </c>
      <c r="D11" s="18">
        <v>1</v>
      </c>
      <c r="E11" s="18">
        <v>19.892749999999999</v>
      </c>
      <c r="F11" s="18">
        <v>2.8142499999999999</v>
      </c>
      <c r="G11" s="18">
        <v>3</v>
      </c>
      <c r="H11" s="37">
        <f t="shared" si="0"/>
        <v>228.06974522292992</v>
      </c>
      <c r="I11" s="37">
        <v>0.12211</v>
      </c>
      <c r="J11" s="66" t="s">
        <v>7</v>
      </c>
      <c r="K11" s="64">
        <v>460.86194899999998</v>
      </c>
    </row>
    <row r="12" spans="1:11" ht="15" thickBot="1" x14ac:dyDescent="0.35">
      <c r="A12" s="18" t="s">
        <v>9</v>
      </c>
      <c r="B12" s="19">
        <v>0.09</v>
      </c>
      <c r="C12" s="18">
        <v>30</v>
      </c>
      <c r="D12" s="18">
        <v>2</v>
      </c>
      <c r="E12" s="18">
        <v>33.592529999999996</v>
      </c>
      <c r="F12" s="18">
        <v>4.75237</v>
      </c>
      <c r="G12" s="18">
        <v>3</v>
      </c>
      <c r="H12" s="37">
        <f t="shared" si="0"/>
        <v>385.1372866242038</v>
      </c>
      <c r="I12" s="37">
        <v>0.10395</v>
      </c>
      <c r="J12" s="66" t="s">
        <v>8</v>
      </c>
      <c r="K12" s="64">
        <v>412.62573250000003</v>
      </c>
    </row>
    <row r="13" spans="1:11" ht="15" thickBot="1" x14ac:dyDescent="0.35">
      <c r="A13" s="18" t="s">
        <v>9</v>
      </c>
      <c r="B13" s="19">
        <v>0.09</v>
      </c>
      <c r="C13" s="18">
        <v>30</v>
      </c>
      <c r="D13" s="18">
        <v>3</v>
      </c>
      <c r="E13" s="18">
        <v>28.838570000000001</v>
      </c>
      <c r="F13" s="18">
        <v>4.0798199999999998</v>
      </c>
      <c r="G13" s="18">
        <v>3</v>
      </c>
      <c r="H13" s="37">
        <f t="shared" si="0"/>
        <v>330.63328662420383</v>
      </c>
      <c r="I13" s="37">
        <v>7.7499999999999999E-2</v>
      </c>
      <c r="J13" s="66" t="s">
        <v>9</v>
      </c>
      <c r="K13" s="64">
        <v>220.0159108</v>
      </c>
    </row>
    <row r="14" spans="1:11" ht="15" thickBot="1" x14ac:dyDescent="0.35">
      <c r="A14" s="16" t="s">
        <v>6</v>
      </c>
      <c r="B14" s="17">
        <v>0</v>
      </c>
      <c r="C14" s="16">
        <v>60</v>
      </c>
      <c r="D14" s="16">
        <v>1</v>
      </c>
      <c r="E14" s="16">
        <v>97.566429999999997</v>
      </c>
      <c r="F14" s="16">
        <v>13.80283</v>
      </c>
      <c r="G14" s="16">
        <v>3</v>
      </c>
      <c r="H14" s="39">
        <f t="shared" si="0"/>
        <v>1118.5960127388535</v>
      </c>
      <c r="I14" s="39">
        <v>4.0259999999999997E-2</v>
      </c>
      <c r="J14" s="67" t="s">
        <v>6</v>
      </c>
      <c r="K14" s="64">
        <v>605.45377069999995</v>
      </c>
    </row>
    <row r="15" spans="1:11" ht="15" thickBot="1" x14ac:dyDescent="0.35">
      <c r="A15" s="16" t="s">
        <v>6</v>
      </c>
      <c r="B15" s="17">
        <v>0</v>
      </c>
      <c r="C15" s="16">
        <v>60</v>
      </c>
      <c r="D15" s="16">
        <v>2</v>
      </c>
      <c r="E15" s="16">
        <v>64.394019999999998</v>
      </c>
      <c r="F15" s="16">
        <v>9.10989</v>
      </c>
      <c r="G15" s="16">
        <v>3</v>
      </c>
      <c r="H15" s="39">
        <f t="shared" si="0"/>
        <v>738.27538853503188</v>
      </c>
      <c r="I15" s="39">
        <v>3.6179999999999997E-2</v>
      </c>
      <c r="J15" s="67" t="s">
        <v>7</v>
      </c>
      <c r="K15" s="64">
        <v>218.2246624</v>
      </c>
    </row>
    <row r="16" spans="1:11" ht="15" thickBot="1" x14ac:dyDescent="0.35">
      <c r="A16" s="16" t="s">
        <v>6</v>
      </c>
      <c r="B16" s="17">
        <v>0</v>
      </c>
      <c r="C16" s="16">
        <v>60</v>
      </c>
      <c r="D16" s="16">
        <v>3</v>
      </c>
      <c r="E16" s="16">
        <v>75.972110000000001</v>
      </c>
      <c r="F16" s="16">
        <v>10.747859999999999</v>
      </c>
      <c r="G16" s="16">
        <v>3</v>
      </c>
      <c r="H16" s="39">
        <f t="shared" si="0"/>
        <v>871.01782165605084</v>
      </c>
      <c r="I16" s="39">
        <v>3.3950000000000001E-2</v>
      </c>
      <c r="J16" s="67" t="s">
        <v>8</v>
      </c>
      <c r="K16" s="64">
        <v>250.24307010000001</v>
      </c>
    </row>
    <row r="17" spans="1:11" ht="15" thickBot="1" x14ac:dyDescent="0.35">
      <c r="A17" s="16" t="s">
        <v>7</v>
      </c>
      <c r="B17" s="17">
        <v>0.03</v>
      </c>
      <c r="C17" s="16">
        <v>60</v>
      </c>
      <c r="D17" s="16">
        <v>1</v>
      </c>
      <c r="E17" s="16">
        <v>40.620190000000001</v>
      </c>
      <c r="F17" s="16">
        <v>5.7465799999999998</v>
      </c>
      <c r="G17" s="16">
        <v>3</v>
      </c>
      <c r="H17" s="39">
        <f t="shared" si="0"/>
        <v>465.70918471337581</v>
      </c>
      <c r="I17" s="39">
        <v>5.1839999999999997E-2</v>
      </c>
      <c r="J17" s="67" t="s">
        <v>9</v>
      </c>
      <c r="K17" s="64">
        <v>143.34099359999999</v>
      </c>
    </row>
    <row r="18" spans="1:11" ht="15" thickBot="1" x14ac:dyDescent="0.35">
      <c r="A18" s="16" t="s">
        <v>7</v>
      </c>
      <c r="B18" s="17">
        <v>0.03</v>
      </c>
      <c r="C18" s="16">
        <v>60</v>
      </c>
      <c r="D18" s="16">
        <v>2</v>
      </c>
      <c r="E18" s="16">
        <v>32.764960000000002</v>
      </c>
      <c r="F18" s="16">
        <v>4.6352900000000004</v>
      </c>
      <c r="G18" s="16">
        <v>3</v>
      </c>
      <c r="H18" s="39">
        <f t="shared" si="0"/>
        <v>375.64922292993634</v>
      </c>
      <c r="I18" s="39">
        <v>2.6839999999999999E-2</v>
      </c>
      <c r="J18" s="68" t="s">
        <v>6</v>
      </c>
      <c r="K18" s="64">
        <v>426.43375800000001</v>
      </c>
    </row>
    <row r="19" spans="1:11" ht="15" thickBot="1" x14ac:dyDescent="0.35">
      <c r="A19" s="16" t="s">
        <v>7</v>
      </c>
      <c r="B19" s="17">
        <v>0.03</v>
      </c>
      <c r="C19" s="16">
        <v>60</v>
      </c>
      <c r="D19" s="16">
        <v>3</v>
      </c>
      <c r="E19" s="16">
        <v>37.244819999999997</v>
      </c>
      <c r="F19" s="16">
        <v>5.2690599999999996</v>
      </c>
      <c r="G19" s="16">
        <v>3</v>
      </c>
      <c r="H19" s="39">
        <f t="shared" si="0"/>
        <v>427.01067515923563</v>
      </c>
      <c r="I19" s="39">
        <v>5.9740000000000001E-2</v>
      </c>
      <c r="J19" s="68" t="s">
        <v>7</v>
      </c>
      <c r="K19" s="64">
        <v>206.3055669</v>
      </c>
    </row>
    <row r="20" spans="1:11" ht="15" thickBot="1" x14ac:dyDescent="0.35">
      <c r="A20" s="16" t="s">
        <v>8</v>
      </c>
      <c r="B20" s="17">
        <v>0.06</v>
      </c>
      <c r="C20" s="16">
        <v>60</v>
      </c>
      <c r="D20" s="16">
        <v>1</v>
      </c>
      <c r="E20" s="16">
        <v>27.69528</v>
      </c>
      <c r="F20" s="16">
        <v>3.9180799999999998</v>
      </c>
      <c r="G20" s="16">
        <v>3</v>
      </c>
      <c r="H20" s="39">
        <f t="shared" si="0"/>
        <v>317.52550318471339</v>
      </c>
      <c r="I20" s="39">
        <v>6.3420000000000004E-2</v>
      </c>
      <c r="J20" s="68" t="s">
        <v>8</v>
      </c>
      <c r="K20" s="64">
        <v>346.11332479999999</v>
      </c>
    </row>
    <row r="21" spans="1:11" ht="15" thickBot="1" x14ac:dyDescent="0.35">
      <c r="A21" s="16" t="s">
        <v>8</v>
      </c>
      <c r="B21" s="17">
        <v>0.06</v>
      </c>
      <c r="C21" s="16">
        <v>60</v>
      </c>
      <c r="D21" s="16">
        <v>2</v>
      </c>
      <c r="E21" s="16">
        <v>71.781750000000002</v>
      </c>
      <c r="F21" s="16">
        <v>10.15504</v>
      </c>
      <c r="G21" s="16">
        <v>3</v>
      </c>
      <c r="H21" s="39">
        <f t="shared" si="0"/>
        <v>822.97547770700635</v>
      </c>
      <c r="I21" s="39">
        <v>6.9870000000000002E-2</v>
      </c>
      <c r="J21" s="68" t="s">
        <v>9</v>
      </c>
      <c r="K21" s="64">
        <v>144.24756690000001</v>
      </c>
    </row>
    <row r="22" spans="1:11" ht="15" thickBot="1" x14ac:dyDescent="0.35">
      <c r="A22" s="16" t="s">
        <v>8</v>
      </c>
      <c r="B22" s="17">
        <v>0.06</v>
      </c>
      <c r="C22" s="16">
        <v>60</v>
      </c>
      <c r="D22" s="16">
        <v>3</v>
      </c>
      <c r="E22" s="16">
        <v>19.11722</v>
      </c>
      <c r="F22" s="16">
        <v>2.7045300000000001</v>
      </c>
      <c r="G22" s="16">
        <v>3</v>
      </c>
      <c r="H22" s="39">
        <f t="shared" si="0"/>
        <v>219.17831847133755</v>
      </c>
      <c r="I22" s="39">
        <v>7.0919999999999997E-2</v>
      </c>
      <c r="J22" s="69" t="s">
        <v>6</v>
      </c>
      <c r="K22" s="64">
        <v>293.04298089999998</v>
      </c>
    </row>
    <row r="23" spans="1:11" ht="15" thickBot="1" x14ac:dyDescent="0.35">
      <c r="A23" s="16" t="s">
        <v>9</v>
      </c>
      <c r="B23" s="17">
        <v>0.09</v>
      </c>
      <c r="C23" s="16">
        <v>60</v>
      </c>
      <c r="D23" s="16">
        <v>1</v>
      </c>
      <c r="E23" s="16">
        <v>30.068210000000001</v>
      </c>
      <c r="F23" s="16">
        <v>4.2537799999999999</v>
      </c>
      <c r="G23" s="16">
        <v>3</v>
      </c>
      <c r="H23" s="39">
        <f t="shared" si="0"/>
        <v>344.73107006369423</v>
      </c>
      <c r="I23" s="39">
        <v>0.11592</v>
      </c>
      <c r="J23" s="69" t="s">
        <v>7</v>
      </c>
      <c r="K23" s="64">
        <v>162.39840760000001</v>
      </c>
    </row>
    <row r="24" spans="1:11" ht="15" thickBot="1" x14ac:dyDescent="0.35">
      <c r="A24" s="16" t="s">
        <v>9</v>
      </c>
      <c r="B24" s="17">
        <v>0.09</v>
      </c>
      <c r="C24" s="16">
        <v>60</v>
      </c>
      <c r="D24" s="16">
        <v>2</v>
      </c>
      <c r="E24" s="16">
        <v>33.157699999999998</v>
      </c>
      <c r="F24" s="16">
        <v>4.6908599999999998</v>
      </c>
      <c r="G24" s="16">
        <v>3</v>
      </c>
      <c r="H24" s="39">
        <f t="shared" si="0"/>
        <v>380.15197452229296</v>
      </c>
      <c r="I24" s="39">
        <v>7.8030000000000002E-2</v>
      </c>
      <c r="J24" s="69" t="s">
        <v>8</v>
      </c>
      <c r="K24" s="64">
        <v>52.736407640000003</v>
      </c>
    </row>
    <row r="25" spans="1:11" ht="15" thickBot="1" x14ac:dyDescent="0.35">
      <c r="A25" s="16" t="s">
        <v>9</v>
      </c>
      <c r="B25" s="17">
        <v>0.09</v>
      </c>
      <c r="C25" s="16">
        <v>60</v>
      </c>
      <c r="D25" s="16">
        <v>3</v>
      </c>
      <c r="E25" s="16">
        <v>14.05306</v>
      </c>
      <c r="F25" s="16">
        <v>1.9881</v>
      </c>
      <c r="G25" s="16">
        <v>3</v>
      </c>
      <c r="H25" s="39">
        <f t="shared" si="0"/>
        <v>161.11788535031849</v>
      </c>
      <c r="I25" s="39">
        <v>0.14446999999999999</v>
      </c>
      <c r="J25" s="69" t="s">
        <v>9</v>
      </c>
      <c r="K25" s="64">
        <v>75.362751590000002</v>
      </c>
    </row>
    <row r="26" spans="1:11" x14ac:dyDescent="0.3">
      <c r="A26" s="22" t="s">
        <v>6</v>
      </c>
      <c r="B26" s="23">
        <v>0</v>
      </c>
      <c r="C26" s="22">
        <v>90</v>
      </c>
      <c r="D26" s="22">
        <v>1</v>
      </c>
      <c r="E26" s="22">
        <v>51.95487</v>
      </c>
      <c r="F26" s="22">
        <v>7.3501099999999999</v>
      </c>
      <c r="G26" s="22">
        <v>3</v>
      </c>
      <c r="H26" s="40">
        <f t="shared" si="0"/>
        <v>595.66092993630571</v>
      </c>
      <c r="I26" s="40">
        <v>2.9600000000000001E-2</v>
      </c>
    </row>
    <row r="27" spans="1:11" x14ac:dyDescent="0.3">
      <c r="A27" s="22" t="s">
        <v>6</v>
      </c>
      <c r="B27" s="23">
        <v>0</v>
      </c>
      <c r="C27" s="22">
        <v>90</v>
      </c>
      <c r="D27" s="22">
        <v>2</v>
      </c>
      <c r="E27" s="22">
        <v>47.361150000000002</v>
      </c>
      <c r="F27" s="22">
        <v>6.7002300000000004</v>
      </c>
      <c r="G27" s="22">
        <v>3</v>
      </c>
      <c r="H27" s="40">
        <f t="shared" si="0"/>
        <v>542.99407643312099</v>
      </c>
      <c r="I27" s="40">
        <v>6.368E-2</v>
      </c>
    </row>
    <row r="28" spans="1:11" x14ac:dyDescent="0.3">
      <c r="A28" s="22" t="s">
        <v>6</v>
      </c>
      <c r="B28" s="23">
        <v>0</v>
      </c>
      <c r="C28" s="22">
        <v>90</v>
      </c>
      <c r="D28" s="22">
        <v>3</v>
      </c>
      <c r="E28" s="22">
        <v>40.066560000000003</v>
      </c>
      <c r="F28" s="22">
        <v>5.6682600000000001</v>
      </c>
      <c r="G28" s="22">
        <v>3</v>
      </c>
      <c r="H28" s="40">
        <f t="shared" si="0"/>
        <v>459.36183439490446</v>
      </c>
      <c r="I28" s="40">
        <v>3.1320000000000001E-2</v>
      </c>
    </row>
    <row r="29" spans="1:11" x14ac:dyDescent="0.3">
      <c r="A29" s="22" t="s">
        <v>7</v>
      </c>
      <c r="B29" s="23">
        <v>0.03</v>
      </c>
      <c r="C29" s="22">
        <v>90</v>
      </c>
      <c r="D29" s="22">
        <v>1</v>
      </c>
      <c r="E29" s="22">
        <v>32.334910000000001</v>
      </c>
      <c r="F29" s="22">
        <v>4.5744499999999997</v>
      </c>
      <c r="G29" s="22">
        <v>3</v>
      </c>
      <c r="H29" s="40">
        <f t="shared" si="0"/>
        <v>370.71871337579614</v>
      </c>
      <c r="I29" s="40">
        <v>6.1580000000000003E-2</v>
      </c>
    </row>
    <row r="30" spans="1:11" x14ac:dyDescent="0.3">
      <c r="A30" s="22" t="s">
        <v>7</v>
      </c>
      <c r="B30" s="23">
        <v>0.03</v>
      </c>
      <c r="C30" s="22">
        <v>90</v>
      </c>
      <c r="D30" s="22">
        <v>2</v>
      </c>
      <c r="E30" s="22">
        <v>31.623139999999999</v>
      </c>
      <c r="F30" s="22">
        <v>4.4737600000000004</v>
      </c>
      <c r="G30" s="22">
        <v>3</v>
      </c>
      <c r="H30" s="40">
        <f t="shared" si="0"/>
        <v>362.55829299363052</v>
      </c>
      <c r="I30" s="40">
        <v>3.2500000000000001E-2</v>
      </c>
    </row>
    <row r="31" spans="1:11" x14ac:dyDescent="0.3">
      <c r="A31" s="22" t="s">
        <v>7</v>
      </c>
      <c r="B31" s="23">
        <v>0.03</v>
      </c>
      <c r="C31" s="22">
        <v>90</v>
      </c>
      <c r="D31" s="22">
        <v>3</v>
      </c>
      <c r="E31" s="22">
        <v>56.634160000000001</v>
      </c>
      <c r="F31" s="22">
        <v>8.0120900000000006</v>
      </c>
      <c r="G31" s="22">
        <v>3</v>
      </c>
      <c r="H31" s="40">
        <f t="shared" si="0"/>
        <v>649.30884076433119</v>
      </c>
      <c r="I31" s="40">
        <v>3.5000000000000003E-2</v>
      </c>
    </row>
    <row r="32" spans="1:11" x14ac:dyDescent="0.3">
      <c r="A32" s="22" t="s">
        <v>8</v>
      </c>
      <c r="B32" s="23">
        <v>0.06</v>
      </c>
      <c r="C32" s="22">
        <v>90</v>
      </c>
      <c r="D32" s="22">
        <v>1</v>
      </c>
      <c r="E32" s="22">
        <v>46.723080000000003</v>
      </c>
      <c r="F32" s="22">
        <v>6.6099600000000001</v>
      </c>
      <c r="G32" s="22">
        <v>3</v>
      </c>
      <c r="H32" s="40">
        <f t="shared" si="0"/>
        <v>535.67862420382164</v>
      </c>
      <c r="I32" s="40">
        <v>3.1579999999999997E-2</v>
      </c>
    </row>
    <row r="33" spans="1:9" x14ac:dyDescent="0.3">
      <c r="A33" s="22" t="s">
        <v>8</v>
      </c>
      <c r="B33" s="23">
        <v>0.06</v>
      </c>
      <c r="C33" s="22">
        <v>90</v>
      </c>
      <c r="D33" s="22">
        <v>2</v>
      </c>
      <c r="E33" s="22">
        <v>23.411729999999999</v>
      </c>
      <c r="F33" s="22">
        <v>5.5249300000000003</v>
      </c>
      <c r="G33" s="22">
        <v>3</v>
      </c>
      <c r="H33" s="40">
        <f t="shared" si="0"/>
        <v>268.41473885350314</v>
      </c>
      <c r="I33" s="40">
        <v>2.9080000000000002E-2</v>
      </c>
    </row>
    <row r="34" spans="1:9" x14ac:dyDescent="0.3">
      <c r="A34" s="22" t="s">
        <v>8</v>
      </c>
      <c r="B34" s="23">
        <v>0.06</v>
      </c>
      <c r="C34" s="22">
        <v>90</v>
      </c>
      <c r="D34" s="22">
        <v>3</v>
      </c>
      <c r="E34" s="22">
        <v>37.835590000000003</v>
      </c>
      <c r="F34" s="22">
        <v>5.3526400000000001</v>
      </c>
      <c r="G34" s="22">
        <v>3</v>
      </c>
      <c r="H34" s="40">
        <f t="shared" si="0"/>
        <v>433.78383439490449</v>
      </c>
      <c r="I34" s="40">
        <v>7.3679999999999995E-2</v>
      </c>
    </row>
    <row r="35" spans="1:9" x14ac:dyDescent="0.3">
      <c r="A35" s="22" t="s">
        <v>9</v>
      </c>
      <c r="B35" s="23">
        <v>0.09</v>
      </c>
      <c r="C35" s="22">
        <v>90</v>
      </c>
      <c r="D35" s="22">
        <v>1</v>
      </c>
      <c r="E35" s="22">
        <v>15.64635</v>
      </c>
      <c r="F35" s="22">
        <v>2.2135099999999999</v>
      </c>
      <c r="G35" s="22">
        <v>3</v>
      </c>
      <c r="H35" s="40">
        <f t="shared" si="0"/>
        <v>179.38490445859873</v>
      </c>
      <c r="I35" s="40">
        <v>0.13367999999999999</v>
      </c>
    </row>
    <row r="36" spans="1:9" x14ac:dyDescent="0.3">
      <c r="A36" s="22" t="s">
        <v>9</v>
      </c>
      <c r="B36" s="23">
        <v>0.09</v>
      </c>
      <c r="C36" s="22">
        <v>90</v>
      </c>
      <c r="D36" s="22">
        <v>2</v>
      </c>
      <c r="E36" s="22">
        <v>22.7453</v>
      </c>
      <c r="F36" s="22">
        <v>3.2178</v>
      </c>
      <c r="G36" s="22">
        <v>3</v>
      </c>
      <c r="H36" s="40">
        <f t="shared" si="0"/>
        <v>260.77414012738853</v>
      </c>
      <c r="I36" s="40">
        <v>0.11065999999999999</v>
      </c>
    </row>
    <row r="37" spans="1:9" x14ac:dyDescent="0.3">
      <c r="A37" s="22" t="s">
        <v>9</v>
      </c>
      <c r="B37" s="23">
        <v>0.09</v>
      </c>
      <c r="C37" s="22">
        <v>90</v>
      </c>
      <c r="D37" s="22">
        <v>3</v>
      </c>
      <c r="E37" s="22">
        <v>19.179179999999999</v>
      </c>
      <c r="F37" s="22">
        <v>2.7132999999999998</v>
      </c>
      <c r="G37" s="22">
        <v>3</v>
      </c>
      <c r="H37" s="40">
        <f t="shared" si="0"/>
        <v>219.88868789808913</v>
      </c>
      <c r="I37" s="40">
        <v>0.13433999999999999</v>
      </c>
    </row>
    <row r="38" spans="1:9" x14ac:dyDescent="0.3">
      <c r="A38" s="20" t="s">
        <v>6</v>
      </c>
      <c r="B38" s="21">
        <v>0</v>
      </c>
      <c r="C38" s="20">
        <v>120</v>
      </c>
      <c r="D38" s="20">
        <v>1</v>
      </c>
      <c r="E38" s="20">
        <v>39.211939999999998</v>
      </c>
      <c r="F38" s="20">
        <v>5.5473600000000003</v>
      </c>
      <c r="G38" s="20">
        <v>3</v>
      </c>
      <c r="H38" s="42">
        <f t="shared" si="0"/>
        <v>449.56364331210187</v>
      </c>
      <c r="I38" s="42">
        <v>2.053E-2</v>
      </c>
    </row>
    <row r="39" spans="1:9" x14ac:dyDescent="0.3">
      <c r="A39" s="20" t="s">
        <v>6</v>
      </c>
      <c r="B39" s="21">
        <v>0</v>
      </c>
      <c r="C39" s="20">
        <v>120</v>
      </c>
      <c r="D39" s="20">
        <v>2</v>
      </c>
      <c r="E39" s="20">
        <v>63.793390000000002</v>
      </c>
      <c r="F39" s="20">
        <v>9.0249199999999998</v>
      </c>
      <c r="G39" s="20">
        <v>3</v>
      </c>
      <c r="H39" s="42">
        <f t="shared" si="0"/>
        <v>731.38918471337581</v>
      </c>
      <c r="I39" s="42">
        <v>2.6710000000000001E-2</v>
      </c>
    </row>
    <row r="40" spans="1:9" x14ac:dyDescent="0.3">
      <c r="A40" s="20" t="s">
        <v>6</v>
      </c>
      <c r="B40" s="21">
        <v>0</v>
      </c>
      <c r="C40" s="20">
        <v>120</v>
      </c>
      <c r="D40" s="20">
        <v>3</v>
      </c>
      <c r="E40" s="20">
        <v>55.42174</v>
      </c>
      <c r="F40" s="20">
        <v>7.8405699999999996</v>
      </c>
      <c r="G40" s="20">
        <v>3</v>
      </c>
      <c r="H40" s="42">
        <f t="shared" si="0"/>
        <v>635.40848407643307</v>
      </c>
      <c r="I40" s="42">
        <v>0.02</v>
      </c>
    </row>
    <row r="41" spans="1:9" x14ac:dyDescent="0.3">
      <c r="A41" s="20" t="s">
        <v>7</v>
      </c>
      <c r="B41" s="21">
        <v>0.03</v>
      </c>
      <c r="C41" s="20">
        <v>120</v>
      </c>
      <c r="D41" s="20">
        <v>1</v>
      </c>
      <c r="E41" s="20">
        <v>16.54485</v>
      </c>
      <c r="F41" s="20">
        <v>2.3406199999999999</v>
      </c>
      <c r="G41" s="20">
        <v>3</v>
      </c>
      <c r="H41" s="42">
        <f t="shared" si="0"/>
        <v>189.68617834394902</v>
      </c>
      <c r="I41" s="42">
        <v>5.3159999999999999E-2</v>
      </c>
    </row>
    <row r="42" spans="1:9" x14ac:dyDescent="0.3">
      <c r="A42" s="20" t="s">
        <v>7</v>
      </c>
      <c r="B42" s="21">
        <v>0.03</v>
      </c>
      <c r="C42" s="20">
        <v>120</v>
      </c>
      <c r="D42" s="20">
        <v>2</v>
      </c>
      <c r="E42" s="20">
        <v>16.631550000000001</v>
      </c>
      <c r="F42" s="20">
        <v>2.3528799999999999</v>
      </c>
      <c r="G42" s="20">
        <v>3</v>
      </c>
      <c r="H42" s="42">
        <f t="shared" si="0"/>
        <v>190.68019108280254</v>
      </c>
      <c r="I42" s="42">
        <v>0.12961</v>
      </c>
    </row>
    <row r="43" spans="1:9" x14ac:dyDescent="0.3">
      <c r="A43" s="20" t="s">
        <v>7</v>
      </c>
      <c r="B43" s="21">
        <v>0.03</v>
      </c>
      <c r="C43" s="20">
        <v>120</v>
      </c>
      <c r="D43" s="20">
        <v>3</v>
      </c>
      <c r="E43" s="20">
        <v>23.925719999999998</v>
      </c>
      <c r="F43" s="20">
        <v>3.3847999999999998</v>
      </c>
      <c r="G43" s="20">
        <v>3</v>
      </c>
      <c r="H43" s="42">
        <f t="shared" si="0"/>
        <v>274.30761783439488</v>
      </c>
      <c r="I43" s="42">
        <v>9.9339999999999998E-2</v>
      </c>
    </row>
    <row r="44" spans="1:9" x14ac:dyDescent="0.3">
      <c r="A44" s="20" t="s">
        <v>8</v>
      </c>
      <c r="B44" s="21">
        <v>0.06</v>
      </c>
      <c r="C44" s="20">
        <v>120</v>
      </c>
      <c r="D44" s="20">
        <v>1</v>
      </c>
      <c r="E44" s="20">
        <v>44.054789999999997</v>
      </c>
      <c r="F44" s="20">
        <v>6.2324799999999998</v>
      </c>
      <c r="G44" s="20">
        <v>3</v>
      </c>
      <c r="H44" s="42">
        <f t="shared" si="0"/>
        <v>505.08676433121013</v>
      </c>
      <c r="I44" s="42">
        <v>5.5129999999999998E-2</v>
      </c>
    </row>
    <row r="45" spans="1:9" x14ac:dyDescent="0.3">
      <c r="A45" s="20" t="s">
        <v>8</v>
      </c>
      <c r="B45" s="21">
        <v>0.06</v>
      </c>
      <c r="C45" s="20">
        <v>120</v>
      </c>
      <c r="D45" s="20">
        <v>2</v>
      </c>
      <c r="E45" s="20">
        <v>9.2431300000000007</v>
      </c>
      <c r="F45" s="20">
        <v>1.3076399999999999</v>
      </c>
      <c r="G45" s="20">
        <v>3</v>
      </c>
      <c r="H45" s="42">
        <f t="shared" si="0"/>
        <v>105.97219108280255</v>
      </c>
      <c r="I45" s="42">
        <v>2.9739999999999999E-2</v>
      </c>
    </row>
    <row r="46" spans="1:9" x14ac:dyDescent="0.3">
      <c r="A46" s="20" t="s">
        <v>8</v>
      </c>
      <c r="B46" s="21">
        <v>0.06</v>
      </c>
      <c r="C46" s="20">
        <v>120</v>
      </c>
      <c r="D46" s="20">
        <v>3</v>
      </c>
      <c r="E46" s="20">
        <v>12.18235</v>
      </c>
      <c r="F46" s="20">
        <v>1.7234499999999999</v>
      </c>
      <c r="G46" s="20">
        <v>3</v>
      </c>
      <c r="H46" s="42">
        <f t="shared" si="0"/>
        <v>139.67025477707006</v>
      </c>
      <c r="I46" s="42">
        <v>4.6050000000000001E-2</v>
      </c>
    </row>
    <row r="47" spans="1:9" x14ac:dyDescent="0.3">
      <c r="A47" s="20" t="s">
        <v>9</v>
      </c>
      <c r="B47" s="21">
        <v>0.09</v>
      </c>
      <c r="C47" s="20">
        <v>120</v>
      </c>
      <c r="D47" s="20">
        <v>1</v>
      </c>
      <c r="E47" s="20">
        <v>10.10141</v>
      </c>
      <c r="F47" s="20">
        <v>1.42906</v>
      </c>
      <c r="G47" s="20">
        <v>3</v>
      </c>
      <c r="H47" s="42">
        <f t="shared" si="0"/>
        <v>115.81234394904457</v>
      </c>
      <c r="I47" s="42">
        <v>6.3549999999999995E-2</v>
      </c>
    </row>
    <row r="48" spans="1:9" x14ac:dyDescent="0.3">
      <c r="A48" s="20" t="s">
        <v>9</v>
      </c>
      <c r="B48" s="21">
        <v>0.09</v>
      </c>
      <c r="C48" s="20">
        <v>120</v>
      </c>
      <c r="D48" s="20">
        <v>2</v>
      </c>
      <c r="E48" s="20">
        <v>13.62693</v>
      </c>
      <c r="F48" s="20">
        <v>1.9278200000000001</v>
      </c>
      <c r="G48" s="20">
        <v>3</v>
      </c>
      <c r="H48" s="42">
        <f t="shared" si="0"/>
        <v>156.23231847133758</v>
      </c>
      <c r="I48" s="42">
        <v>0.12645000000000001</v>
      </c>
    </row>
    <row r="49" spans="1:9" x14ac:dyDescent="0.3">
      <c r="A49" s="20" t="s">
        <v>9</v>
      </c>
      <c r="B49" s="21">
        <v>0.09</v>
      </c>
      <c r="C49" s="20">
        <v>120</v>
      </c>
      <c r="D49" s="20">
        <v>3</v>
      </c>
      <c r="E49" s="20">
        <v>13.77922</v>
      </c>
      <c r="F49" s="20">
        <v>1.94936</v>
      </c>
      <c r="G49" s="20">
        <v>3</v>
      </c>
      <c r="H49" s="42">
        <f t="shared" si="0"/>
        <v>157.97831847133759</v>
      </c>
      <c r="I49" s="42">
        <v>8.4080000000000002E-2</v>
      </c>
    </row>
    <row r="50" spans="1:9" x14ac:dyDescent="0.3">
      <c r="A50" s="43" t="s">
        <v>6</v>
      </c>
      <c r="B50" s="44">
        <v>0</v>
      </c>
      <c r="C50" s="43">
        <v>150</v>
      </c>
      <c r="D50" s="43">
        <v>1</v>
      </c>
      <c r="E50" s="43">
        <v>46.324269999999999</v>
      </c>
      <c r="F50" s="43">
        <v>6.5535399999999999</v>
      </c>
      <c r="G50" s="43">
        <v>3</v>
      </c>
      <c r="H50" s="45">
        <f t="shared" si="0"/>
        <v>531.10628025477706</v>
      </c>
      <c r="I50" s="45">
        <v>4.6580000000000003E-2</v>
      </c>
    </row>
    <row r="51" spans="1:9" x14ac:dyDescent="0.3">
      <c r="A51" s="43" t="s">
        <v>6</v>
      </c>
      <c r="B51" s="44">
        <v>0</v>
      </c>
      <c r="C51" s="43">
        <v>150</v>
      </c>
      <c r="D51" s="43">
        <v>2</v>
      </c>
      <c r="E51" s="43">
        <v>30.055510000000002</v>
      </c>
      <c r="F51" s="43">
        <v>4.2519799999999996</v>
      </c>
      <c r="G51" s="43">
        <v>3</v>
      </c>
      <c r="H51" s="45">
        <f t="shared" si="0"/>
        <v>344.58546496815285</v>
      </c>
      <c r="I51" s="45">
        <v>2.4080000000000001E-2</v>
      </c>
    </row>
    <row r="52" spans="1:9" x14ac:dyDescent="0.3">
      <c r="A52" s="43" t="s">
        <v>6</v>
      </c>
      <c r="B52" s="44">
        <v>0</v>
      </c>
      <c r="C52" s="43">
        <v>150</v>
      </c>
      <c r="D52" s="43">
        <v>3</v>
      </c>
      <c r="E52" s="43">
        <v>35.203719999999997</v>
      </c>
      <c r="F52" s="43">
        <v>4.9803100000000002</v>
      </c>
      <c r="G52" s="43">
        <v>3</v>
      </c>
      <c r="H52" s="45">
        <f t="shared" si="0"/>
        <v>403.60952866242036</v>
      </c>
      <c r="I52" s="45">
        <v>2.1180000000000001E-2</v>
      </c>
    </row>
    <row r="53" spans="1:9" x14ac:dyDescent="0.3">
      <c r="A53" s="43" t="s">
        <v>7</v>
      </c>
      <c r="B53" s="44">
        <v>0.03</v>
      </c>
      <c r="C53" s="43">
        <v>150</v>
      </c>
      <c r="D53" s="43">
        <v>1</v>
      </c>
      <c r="E53" s="43">
        <v>20.927600000000002</v>
      </c>
      <c r="F53" s="43">
        <v>2.9606499999999998</v>
      </c>
      <c r="G53" s="43">
        <v>3</v>
      </c>
      <c r="H53" s="45">
        <f t="shared" si="0"/>
        <v>239.93426751592358</v>
      </c>
      <c r="I53" s="45">
        <v>7.1000000000000004E-3</v>
      </c>
    </row>
    <row r="54" spans="1:9" x14ac:dyDescent="0.3">
      <c r="A54" s="43" t="s">
        <v>7</v>
      </c>
      <c r="B54" s="44">
        <v>0.03</v>
      </c>
      <c r="C54" s="43">
        <v>150</v>
      </c>
      <c r="D54" s="43">
        <v>2</v>
      </c>
      <c r="E54" s="43">
        <v>24.351099999999999</v>
      </c>
      <c r="F54" s="43">
        <v>3.4449800000000002</v>
      </c>
      <c r="G54" s="43">
        <v>3</v>
      </c>
      <c r="H54" s="45">
        <f t="shared" si="0"/>
        <v>279.18458598726113</v>
      </c>
      <c r="I54" s="45">
        <v>3.1969999999999998E-2</v>
      </c>
    </row>
    <row r="55" spans="1:9" x14ac:dyDescent="0.3">
      <c r="A55" s="43" t="s">
        <v>7</v>
      </c>
      <c r="B55" s="44">
        <v>0.03</v>
      </c>
      <c r="C55" s="43">
        <v>150</v>
      </c>
      <c r="D55" s="43">
        <v>3</v>
      </c>
      <c r="E55" s="43">
        <v>8.7045899999999996</v>
      </c>
      <c r="F55" s="43">
        <v>1.2314499999999999</v>
      </c>
      <c r="G55" s="43">
        <v>3</v>
      </c>
      <c r="H55" s="45">
        <f t="shared" si="0"/>
        <v>99.797847133757955</v>
      </c>
      <c r="I55" s="45">
        <v>0.14052999999999999</v>
      </c>
    </row>
    <row r="56" spans="1:9" x14ac:dyDescent="0.3">
      <c r="A56" s="43" t="s">
        <v>8</v>
      </c>
      <c r="B56" s="44">
        <v>0.06</v>
      </c>
      <c r="C56" s="43">
        <v>150</v>
      </c>
      <c r="D56" s="43">
        <v>1</v>
      </c>
      <c r="E56" s="43">
        <v>13.470980000000001</v>
      </c>
      <c r="F56" s="43">
        <v>1.9057500000000001</v>
      </c>
      <c r="G56" s="43">
        <v>3</v>
      </c>
      <c r="H56" s="45">
        <f t="shared" si="0"/>
        <v>154.44435668789811</v>
      </c>
      <c r="I56" s="45">
        <v>8.9609999999999995E-2</v>
      </c>
    </row>
    <row r="57" spans="1:9" x14ac:dyDescent="0.3">
      <c r="A57" s="43" t="s">
        <v>8</v>
      </c>
      <c r="B57" s="44">
        <v>0.06</v>
      </c>
      <c r="C57" s="43">
        <v>150</v>
      </c>
      <c r="D57" s="43">
        <v>2</v>
      </c>
      <c r="E57" s="43">
        <v>4.5483599999999997</v>
      </c>
      <c r="F57" s="43">
        <v>0.64346000000000003</v>
      </c>
      <c r="G57" s="43">
        <v>3</v>
      </c>
      <c r="H57" s="45">
        <f t="shared" si="0"/>
        <v>52.14680254777069</v>
      </c>
      <c r="I57" s="45">
        <v>5.1319999999999998E-2</v>
      </c>
    </row>
    <row r="58" spans="1:9" x14ac:dyDescent="0.3">
      <c r="A58" s="43" t="s">
        <v>8</v>
      </c>
      <c r="B58" s="44">
        <v>0.06</v>
      </c>
      <c r="C58" s="43">
        <v>150</v>
      </c>
      <c r="D58" s="43">
        <v>3</v>
      </c>
      <c r="E58" s="43">
        <v>29.734190000000002</v>
      </c>
      <c r="F58" s="43">
        <v>4.2065299999999999</v>
      </c>
      <c r="G58" s="43">
        <v>3</v>
      </c>
      <c r="H58" s="45">
        <f t="shared" si="0"/>
        <v>340.9015414012739</v>
      </c>
      <c r="I58" s="45">
        <v>0.11316</v>
      </c>
    </row>
    <row r="59" spans="1:9" x14ac:dyDescent="0.3">
      <c r="A59" s="43" t="s">
        <v>9</v>
      </c>
      <c r="B59" s="44">
        <v>0.09</v>
      </c>
      <c r="C59" s="43">
        <v>150</v>
      </c>
      <c r="D59" s="43">
        <v>1</v>
      </c>
      <c r="E59" s="43">
        <v>6.8228200000000001</v>
      </c>
      <c r="F59" s="43">
        <v>0.96523000000000003</v>
      </c>
      <c r="G59" s="43">
        <v>3</v>
      </c>
      <c r="H59" s="45">
        <f t="shared" si="0"/>
        <v>78.223414012738843</v>
      </c>
      <c r="I59" s="45">
        <v>5.5660000000000001E-2</v>
      </c>
    </row>
    <row r="60" spans="1:9" x14ac:dyDescent="0.3">
      <c r="A60" s="43" t="s">
        <v>9</v>
      </c>
      <c r="B60" s="44">
        <v>0.09</v>
      </c>
      <c r="C60" s="43">
        <v>150</v>
      </c>
      <c r="D60" s="43">
        <v>2</v>
      </c>
      <c r="E60" s="43">
        <v>19.09</v>
      </c>
      <c r="F60" s="43">
        <v>2.7006800000000002</v>
      </c>
      <c r="G60" s="43">
        <v>3</v>
      </c>
      <c r="H60" s="45">
        <f t="shared" si="0"/>
        <v>218.86624203821654</v>
      </c>
      <c r="I60" s="45">
        <v>0.10474</v>
      </c>
    </row>
    <row r="61" spans="1:9" x14ac:dyDescent="0.3">
      <c r="A61" s="43" t="s">
        <v>9</v>
      </c>
      <c r="B61" s="44">
        <v>0.09</v>
      </c>
      <c r="C61" s="43">
        <v>150</v>
      </c>
      <c r="D61" s="43">
        <v>3</v>
      </c>
      <c r="E61" s="43">
        <v>11.83196</v>
      </c>
      <c r="F61" s="43">
        <v>1.67388</v>
      </c>
      <c r="G61" s="43">
        <v>3</v>
      </c>
      <c r="H61" s="45">
        <f t="shared" si="0"/>
        <v>135.65304458598726</v>
      </c>
      <c r="I61" s="45">
        <v>5.0389999999999997E-2</v>
      </c>
    </row>
    <row r="62" spans="1:9" x14ac:dyDescent="0.3">
      <c r="A62" s="24" t="s">
        <v>6</v>
      </c>
      <c r="B62" s="25">
        <v>0</v>
      </c>
      <c r="C62" s="24">
        <v>180</v>
      </c>
      <c r="D62" s="24">
        <v>1</v>
      </c>
      <c r="E62" s="24">
        <v>11.57436</v>
      </c>
      <c r="F62" s="24">
        <v>1.63744</v>
      </c>
      <c r="G62" s="24">
        <v>3</v>
      </c>
      <c r="H62" s="46">
        <f t="shared" si="0"/>
        <v>132.69966878980892</v>
      </c>
      <c r="I62" s="46">
        <v>2.461E-2</v>
      </c>
    </row>
    <row r="63" spans="1:9" x14ac:dyDescent="0.3">
      <c r="A63" s="24" t="s">
        <v>6</v>
      </c>
      <c r="B63" s="25">
        <v>0</v>
      </c>
      <c r="C63" s="24">
        <v>180</v>
      </c>
      <c r="D63" s="24">
        <v>2</v>
      </c>
      <c r="E63" s="24">
        <v>27.73742</v>
      </c>
      <c r="F63" s="24">
        <v>3.9240400000000002</v>
      </c>
      <c r="G63" s="24">
        <v>3</v>
      </c>
      <c r="H63" s="46">
        <f t="shared" si="0"/>
        <v>318.00863694267514</v>
      </c>
      <c r="I63" s="46">
        <v>2.0389999999999998E-2</v>
      </c>
    </row>
    <row r="64" spans="1:9" x14ac:dyDescent="0.3">
      <c r="A64" s="24" t="s">
        <v>6</v>
      </c>
      <c r="B64" s="25">
        <v>0</v>
      </c>
      <c r="C64" s="24">
        <v>180</v>
      </c>
      <c r="D64" s="24">
        <v>3</v>
      </c>
      <c r="E64" s="24">
        <v>37.367800000000003</v>
      </c>
      <c r="F64" s="24">
        <v>5.2864599999999999</v>
      </c>
      <c r="G64" s="24">
        <v>3</v>
      </c>
      <c r="H64" s="46">
        <f t="shared" si="0"/>
        <v>428.42063694267517</v>
      </c>
      <c r="I64" s="46">
        <v>3.6839999999999998E-2</v>
      </c>
    </row>
    <row r="65" spans="1:11" x14ac:dyDescent="0.3">
      <c r="A65" s="24" t="s">
        <v>7</v>
      </c>
      <c r="B65" s="25">
        <v>0.03</v>
      </c>
      <c r="C65" s="24">
        <v>180</v>
      </c>
      <c r="D65" s="24">
        <v>1</v>
      </c>
      <c r="E65" s="24">
        <v>8.5499700000000001</v>
      </c>
      <c r="F65" s="24">
        <v>1.20957</v>
      </c>
      <c r="G65" s="24">
        <v>3</v>
      </c>
      <c r="H65" s="46">
        <f t="shared" si="0"/>
        <v>98.025133757961783</v>
      </c>
      <c r="I65" s="46">
        <v>4.9209999999999997E-2</v>
      </c>
    </row>
    <row r="66" spans="1:11" x14ac:dyDescent="0.3">
      <c r="A66" s="24" t="s">
        <v>7</v>
      </c>
      <c r="B66" s="25">
        <v>0.03</v>
      </c>
      <c r="C66" s="24">
        <v>180</v>
      </c>
      <c r="D66" s="24">
        <v>2</v>
      </c>
      <c r="E66" s="24">
        <v>7.3221299999999996</v>
      </c>
      <c r="F66" s="24">
        <v>1.0358700000000001</v>
      </c>
      <c r="G66" s="24">
        <v>3</v>
      </c>
      <c r="H66" s="46">
        <f t="shared" si="0"/>
        <v>83.947987261146494</v>
      </c>
      <c r="I66" s="46">
        <v>4.197E-2</v>
      </c>
    </row>
    <row r="67" spans="1:11" x14ac:dyDescent="0.3">
      <c r="A67" s="24" t="s">
        <v>7</v>
      </c>
      <c r="B67" s="25">
        <v>0.03</v>
      </c>
      <c r="C67" s="24">
        <v>180</v>
      </c>
      <c r="D67" s="24">
        <v>3</v>
      </c>
      <c r="E67" s="24">
        <v>26.622150000000001</v>
      </c>
      <c r="F67" s="24">
        <v>3.7662599999999999</v>
      </c>
      <c r="G67" s="24">
        <v>3</v>
      </c>
      <c r="H67" s="46">
        <f t="shared" ref="H67:H130" si="1">(E67/0.785*(G67*G67))</f>
        <v>305.22210191082803</v>
      </c>
      <c r="I67" s="46">
        <v>5.4609999999999999E-2</v>
      </c>
    </row>
    <row r="68" spans="1:11" x14ac:dyDescent="0.3">
      <c r="A68" s="24" t="s">
        <v>8</v>
      </c>
      <c r="B68" s="25">
        <v>0.06</v>
      </c>
      <c r="C68" s="24">
        <v>180</v>
      </c>
      <c r="D68" s="24">
        <v>1</v>
      </c>
      <c r="E68" s="24">
        <v>6.2206999999999999</v>
      </c>
      <c r="F68" s="24">
        <v>0.88005</v>
      </c>
      <c r="G68" s="24">
        <v>3</v>
      </c>
      <c r="H68" s="46">
        <f t="shared" si="1"/>
        <v>71.320127388535028</v>
      </c>
      <c r="I68" s="46">
        <v>6.4339999999999994E-2</v>
      </c>
    </row>
    <row r="69" spans="1:11" x14ac:dyDescent="0.3">
      <c r="A69" s="24" t="s">
        <v>8</v>
      </c>
      <c r="B69" s="25">
        <v>0.06</v>
      </c>
      <c r="C69" s="24">
        <v>180</v>
      </c>
      <c r="D69" s="24">
        <v>2</v>
      </c>
      <c r="E69" s="24">
        <v>2.9255499999999999</v>
      </c>
      <c r="F69" s="24">
        <v>0.41388000000000003</v>
      </c>
      <c r="G69" s="24">
        <v>3</v>
      </c>
      <c r="H69" s="46">
        <f t="shared" si="1"/>
        <v>33.541337579617831</v>
      </c>
      <c r="I69" s="46">
        <v>3.1449999999999999E-2</v>
      </c>
    </row>
    <row r="70" spans="1:11" x14ac:dyDescent="0.3">
      <c r="A70" s="24" t="s">
        <v>8</v>
      </c>
      <c r="B70" s="25">
        <v>0.06</v>
      </c>
      <c r="C70" s="24">
        <v>180</v>
      </c>
      <c r="D70" s="24">
        <v>3</v>
      </c>
      <c r="E70" s="24">
        <v>4.6531099999999999</v>
      </c>
      <c r="F70" s="24">
        <v>0.65827999999999998</v>
      </c>
      <c r="G70" s="24">
        <v>3</v>
      </c>
      <c r="H70" s="46">
        <f t="shared" si="1"/>
        <v>53.347757961783429</v>
      </c>
      <c r="I70" s="46">
        <v>4.3290000000000002E-2</v>
      </c>
    </row>
    <row r="71" spans="1:11" x14ac:dyDescent="0.3">
      <c r="A71" s="24" t="s">
        <v>9</v>
      </c>
      <c r="B71" s="25">
        <v>0.09</v>
      </c>
      <c r="C71" s="24">
        <v>180</v>
      </c>
      <c r="D71" s="24">
        <v>1</v>
      </c>
      <c r="E71" s="24">
        <v>5.6607599999999998</v>
      </c>
      <c r="F71" s="24">
        <v>0.80083000000000004</v>
      </c>
      <c r="G71" s="24">
        <v>3</v>
      </c>
      <c r="H71" s="46">
        <f t="shared" si="1"/>
        <v>64.900433121019105</v>
      </c>
      <c r="I71" s="46">
        <v>3.1579999999999997E-2</v>
      </c>
    </row>
    <row r="72" spans="1:11" x14ac:dyDescent="0.3">
      <c r="A72" s="24" t="s">
        <v>9</v>
      </c>
      <c r="B72" s="25">
        <v>0.09</v>
      </c>
      <c r="C72" s="24">
        <v>180</v>
      </c>
      <c r="D72" s="24">
        <v>2</v>
      </c>
      <c r="E72" s="24">
        <v>11.77718</v>
      </c>
      <c r="F72" s="24">
        <v>1.6661300000000001</v>
      </c>
      <c r="G72" s="24">
        <v>3</v>
      </c>
      <c r="H72" s="46">
        <f t="shared" si="1"/>
        <v>135.02499363057325</v>
      </c>
      <c r="I72" s="46">
        <v>5.6579999999999998E-2</v>
      </c>
    </row>
    <row r="73" spans="1:11" x14ac:dyDescent="0.3">
      <c r="A73" s="24" t="s">
        <v>9</v>
      </c>
      <c r="B73" s="25">
        <v>0.09</v>
      </c>
      <c r="C73" s="24">
        <v>180</v>
      </c>
      <c r="D73" s="24">
        <v>3</v>
      </c>
      <c r="E73" s="24">
        <v>2.2819799999999999</v>
      </c>
      <c r="F73" s="24">
        <v>0.32283000000000001</v>
      </c>
      <c r="G73" s="24">
        <v>3</v>
      </c>
      <c r="H73" s="46">
        <f t="shared" si="1"/>
        <v>26.162828025477705</v>
      </c>
      <c r="I73" s="46">
        <v>3.6049999999999999E-2</v>
      </c>
    </row>
    <row r="74" spans="1:11" s="1" customFormat="1" x14ac:dyDescent="0.3">
      <c r="H74" s="47">
        <f t="shared" si="1"/>
        <v>0</v>
      </c>
    </row>
    <row r="75" spans="1:11" x14ac:dyDescent="0.3">
      <c r="A75" s="48" t="s">
        <v>10</v>
      </c>
      <c r="B75" s="49">
        <v>0</v>
      </c>
      <c r="C75" s="50">
        <v>30</v>
      </c>
      <c r="D75" s="50">
        <v>1</v>
      </c>
      <c r="E75" s="48">
        <v>167.39393000000001</v>
      </c>
      <c r="F75" s="48">
        <v>23.6814</v>
      </c>
      <c r="G75" s="38">
        <v>3</v>
      </c>
      <c r="H75" s="51">
        <f t="shared" si="1"/>
        <v>1919.1660764331211</v>
      </c>
      <c r="I75" s="51">
        <v>2.632E-2</v>
      </c>
    </row>
    <row r="76" spans="1:11" x14ac:dyDescent="0.3">
      <c r="A76" s="48" t="s">
        <v>10</v>
      </c>
      <c r="B76" s="49">
        <v>0</v>
      </c>
      <c r="C76" s="50">
        <v>30</v>
      </c>
      <c r="D76" s="50">
        <v>2</v>
      </c>
      <c r="E76" s="48">
        <v>127.77343</v>
      </c>
      <c r="F76" s="48">
        <v>18.076239999999999</v>
      </c>
      <c r="G76" s="38">
        <v>3</v>
      </c>
      <c r="H76" s="51">
        <f t="shared" si="1"/>
        <v>1464.918305732484</v>
      </c>
      <c r="I76" s="51">
        <v>3.9870000000000003E-2</v>
      </c>
      <c r="J76" s="3" t="s">
        <v>15</v>
      </c>
      <c r="K76" s="3" t="s">
        <v>17</v>
      </c>
    </row>
    <row r="77" spans="1:11" x14ac:dyDescent="0.3">
      <c r="A77" s="48" t="s">
        <v>10</v>
      </c>
      <c r="B77" s="49">
        <v>0</v>
      </c>
      <c r="C77" s="50">
        <v>30</v>
      </c>
      <c r="D77" s="50">
        <v>3</v>
      </c>
      <c r="E77" s="48">
        <v>232.60276999999999</v>
      </c>
      <c r="F77" s="48">
        <v>32.906559999999999</v>
      </c>
      <c r="G77" s="38">
        <v>3</v>
      </c>
      <c r="H77" s="51">
        <f t="shared" si="1"/>
        <v>2666.7833503184711</v>
      </c>
      <c r="I77" s="51">
        <v>5.3949999999999998E-2</v>
      </c>
      <c r="J77" s="2" t="s">
        <v>16</v>
      </c>
      <c r="K77" s="2">
        <f>AVERAGE(E75:E77)</f>
        <v>175.92337666666666</v>
      </c>
    </row>
    <row r="78" spans="1:11" x14ac:dyDescent="0.3">
      <c r="A78" s="48" t="s">
        <v>11</v>
      </c>
      <c r="B78" s="49">
        <v>0.03</v>
      </c>
      <c r="C78" s="50">
        <v>30</v>
      </c>
      <c r="D78" s="50">
        <v>1</v>
      </c>
      <c r="E78" s="48">
        <v>166.36350999999999</v>
      </c>
      <c r="F78" s="48">
        <v>23.535620000000002</v>
      </c>
      <c r="G78" s="38">
        <v>3</v>
      </c>
      <c r="H78" s="51">
        <f t="shared" si="1"/>
        <v>1907.3523439490443</v>
      </c>
      <c r="I78" s="51">
        <v>4.1709999999999997E-2</v>
      </c>
      <c r="J78" s="2" t="s">
        <v>11</v>
      </c>
      <c r="K78" s="2">
        <f>AVERAGE(E79:E81)</f>
        <v>105.81523666666665</v>
      </c>
    </row>
    <row r="79" spans="1:11" x14ac:dyDescent="0.3">
      <c r="A79" s="48" t="s">
        <v>11</v>
      </c>
      <c r="B79" s="49">
        <v>0.03</v>
      </c>
      <c r="C79" s="50">
        <v>30</v>
      </c>
      <c r="D79" s="50">
        <v>2</v>
      </c>
      <c r="E79" s="48">
        <v>111.23589</v>
      </c>
      <c r="F79" s="48">
        <v>15.736660000000001</v>
      </c>
      <c r="G79" s="38">
        <v>3</v>
      </c>
      <c r="H79" s="51">
        <f t="shared" si="1"/>
        <v>1275.3159363057323</v>
      </c>
      <c r="I79" s="51">
        <v>3.8159999999999999E-2</v>
      </c>
      <c r="J79" s="2" t="s">
        <v>12</v>
      </c>
      <c r="K79" s="2">
        <f>AVERAGE(E81:E83)</f>
        <v>83.397213333333326</v>
      </c>
    </row>
    <row r="80" spans="1:11" x14ac:dyDescent="0.3">
      <c r="A80" s="48" t="s">
        <v>11</v>
      </c>
      <c r="B80" s="49">
        <v>0.03</v>
      </c>
      <c r="C80" s="50">
        <v>30</v>
      </c>
      <c r="D80" s="50">
        <v>3</v>
      </c>
      <c r="E80" s="48">
        <v>109.81666</v>
      </c>
      <c r="F80" s="48">
        <v>15.535880000000001</v>
      </c>
      <c r="G80" s="38">
        <v>3</v>
      </c>
      <c r="H80" s="51">
        <f t="shared" si="1"/>
        <v>1259.0445095541399</v>
      </c>
      <c r="I80" s="51">
        <v>4.3029999999999999E-2</v>
      </c>
      <c r="J80" s="2" t="s">
        <v>13</v>
      </c>
      <c r="K80" s="2">
        <f>AVERAGE(E84:E86)</f>
        <v>96.055403333333331</v>
      </c>
    </row>
    <row r="81" spans="1:11" x14ac:dyDescent="0.3">
      <c r="A81" s="48" t="s">
        <v>12</v>
      </c>
      <c r="B81" s="49">
        <v>0.06</v>
      </c>
      <c r="C81" s="50">
        <v>30</v>
      </c>
      <c r="D81" s="50">
        <v>1</v>
      </c>
      <c r="E81" s="48">
        <v>96.393159999999995</v>
      </c>
      <c r="F81" s="48">
        <v>13.636839999999999</v>
      </c>
      <c r="G81" s="38">
        <v>3</v>
      </c>
      <c r="H81" s="51">
        <f t="shared" si="1"/>
        <v>1105.1445095541401</v>
      </c>
      <c r="I81" s="51">
        <v>3.882E-2</v>
      </c>
      <c r="J81" s="4" t="s">
        <v>10</v>
      </c>
      <c r="K81" s="4">
        <f>AVERAGE(E87:E89)</f>
        <v>14.333256666666665</v>
      </c>
    </row>
    <row r="82" spans="1:11" x14ac:dyDescent="0.3">
      <c r="A82" s="48" t="s">
        <v>12</v>
      </c>
      <c r="B82" s="49">
        <v>0.06</v>
      </c>
      <c r="C82" s="50">
        <v>30</v>
      </c>
      <c r="D82" s="50">
        <v>2</v>
      </c>
      <c r="E82" s="48">
        <v>67.900009999999995</v>
      </c>
      <c r="F82" s="48">
        <v>9.6058900000000005</v>
      </c>
      <c r="G82" s="38">
        <v>3</v>
      </c>
      <c r="H82" s="51">
        <f t="shared" si="1"/>
        <v>778.4714522292993</v>
      </c>
      <c r="I82" s="51">
        <v>3.3550000000000003E-2</v>
      </c>
      <c r="J82" s="4" t="s">
        <v>11</v>
      </c>
      <c r="K82" s="4">
        <f>AVERAGE(E90:E92)</f>
        <v>18.388736666666667</v>
      </c>
    </row>
    <row r="83" spans="1:11" x14ac:dyDescent="0.3">
      <c r="A83" s="48" t="s">
        <v>12</v>
      </c>
      <c r="B83" s="49">
        <v>0.06</v>
      </c>
      <c r="C83" s="50">
        <v>30</v>
      </c>
      <c r="D83" s="50">
        <v>3</v>
      </c>
      <c r="E83" s="48">
        <v>85.898470000000003</v>
      </c>
      <c r="F83" s="48">
        <v>12.152150000000001</v>
      </c>
      <c r="G83" s="38">
        <v>3</v>
      </c>
      <c r="H83" s="51">
        <f t="shared" si="1"/>
        <v>984.82322292993626</v>
      </c>
      <c r="I83" s="51">
        <v>6.1839999999999999E-2</v>
      </c>
      <c r="J83" s="4" t="s">
        <v>12</v>
      </c>
      <c r="K83" s="4">
        <f>AVERAGE(E93:E95)</f>
        <v>46.459363333333329</v>
      </c>
    </row>
    <row r="84" spans="1:11" x14ac:dyDescent="0.3">
      <c r="A84" s="48" t="s">
        <v>13</v>
      </c>
      <c r="B84" s="49">
        <v>0.09</v>
      </c>
      <c r="C84" s="50">
        <v>30</v>
      </c>
      <c r="D84" s="50">
        <v>1</v>
      </c>
      <c r="E84" s="48">
        <v>85.79222</v>
      </c>
      <c r="F84" s="48">
        <v>12.137119999999999</v>
      </c>
      <c r="G84" s="38">
        <v>3</v>
      </c>
      <c r="H84" s="51">
        <f t="shared" si="1"/>
        <v>983.60507006369426</v>
      </c>
      <c r="I84" s="51">
        <v>3.3160000000000002E-2</v>
      </c>
      <c r="J84" s="4" t="s">
        <v>13</v>
      </c>
      <c r="K84" s="4">
        <f>AVERAGE(E96:E98)</f>
        <v>48.358669999999996</v>
      </c>
    </row>
    <row r="85" spans="1:11" x14ac:dyDescent="0.3">
      <c r="A85" s="48" t="s">
        <v>13</v>
      </c>
      <c r="B85" s="49">
        <v>0.09</v>
      </c>
      <c r="C85" s="50">
        <v>30</v>
      </c>
      <c r="D85" s="50">
        <v>2</v>
      </c>
      <c r="E85" s="48">
        <v>90.718689999999995</v>
      </c>
      <c r="F85" s="48">
        <v>12.834070000000001</v>
      </c>
      <c r="G85" s="38">
        <v>3</v>
      </c>
      <c r="H85" s="51">
        <f t="shared" si="1"/>
        <v>1040.0868917197452</v>
      </c>
      <c r="I85" s="51">
        <v>4.632E-2</v>
      </c>
      <c r="J85" s="5" t="s">
        <v>10</v>
      </c>
      <c r="K85" s="5">
        <f>AVERAGE(E99:E101)</f>
        <v>5.880209999999999</v>
      </c>
    </row>
    <row r="86" spans="1:11" x14ac:dyDescent="0.3">
      <c r="A86" s="48" t="s">
        <v>13</v>
      </c>
      <c r="B86" s="49">
        <v>0.09</v>
      </c>
      <c r="C86" s="50">
        <v>30</v>
      </c>
      <c r="D86" s="50">
        <v>3</v>
      </c>
      <c r="E86" s="48">
        <v>111.6553</v>
      </c>
      <c r="F86" s="48">
        <v>15.79599</v>
      </c>
      <c r="G86" s="38">
        <v>3</v>
      </c>
      <c r="H86" s="51">
        <f t="shared" si="1"/>
        <v>1280.1244585987261</v>
      </c>
      <c r="I86" s="51">
        <v>3.6319999999999998E-2</v>
      </c>
      <c r="J86" s="5" t="s">
        <v>11</v>
      </c>
      <c r="K86" s="5">
        <f>AVERAGE(E102:E104)</f>
        <v>9.4787933333333338</v>
      </c>
    </row>
    <row r="87" spans="1:11" x14ac:dyDescent="0.3">
      <c r="A87" s="7" t="s">
        <v>10</v>
      </c>
      <c r="B87" s="8">
        <v>0</v>
      </c>
      <c r="C87" s="9">
        <v>60</v>
      </c>
      <c r="D87" s="9">
        <v>1</v>
      </c>
      <c r="E87" s="7">
        <v>17.84253</v>
      </c>
      <c r="F87" s="7">
        <v>2.5242</v>
      </c>
      <c r="G87" s="41">
        <v>3</v>
      </c>
      <c r="H87" s="52">
        <f t="shared" si="1"/>
        <v>204.5640382165605</v>
      </c>
      <c r="I87" s="52">
        <v>3.3950000000000001E-2</v>
      </c>
      <c r="J87" s="5" t="s">
        <v>12</v>
      </c>
      <c r="K87" s="5">
        <f>AVERAGE(E105:E107)</f>
        <v>7.6462933333333334</v>
      </c>
    </row>
    <row r="88" spans="1:11" x14ac:dyDescent="0.3">
      <c r="A88" s="7" t="s">
        <v>10</v>
      </c>
      <c r="B88" s="8">
        <v>0</v>
      </c>
      <c r="C88" s="9">
        <v>60</v>
      </c>
      <c r="D88" s="9">
        <v>2</v>
      </c>
      <c r="E88" s="7">
        <v>13.223890000000001</v>
      </c>
      <c r="F88" s="7">
        <v>1.8708</v>
      </c>
      <c r="G88" s="41">
        <v>3</v>
      </c>
      <c r="H88" s="52">
        <f t="shared" si="1"/>
        <v>151.61147770700637</v>
      </c>
      <c r="I88" s="52">
        <v>3.6580000000000001E-2</v>
      </c>
      <c r="J88" s="5" t="s">
        <v>13</v>
      </c>
      <c r="K88" s="5">
        <f>AVERAGE(E108:E110)</f>
        <v>37.099773333333339</v>
      </c>
    </row>
    <row r="89" spans="1:11" x14ac:dyDescent="0.3">
      <c r="A89" s="7" t="s">
        <v>10</v>
      </c>
      <c r="B89" s="8">
        <v>0</v>
      </c>
      <c r="C89" s="9">
        <v>60</v>
      </c>
      <c r="D89" s="9">
        <v>3</v>
      </c>
      <c r="E89" s="7">
        <v>11.933350000000001</v>
      </c>
      <c r="F89" s="7">
        <v>1.6882200000000001</v>
      </c>
      <c r="G89" s="41">
        <v>3</v>
      </c>
      <c r="H89" s="52">
        <f t="shared" si="1"/>
        <v>136.81547770700638</v>
      </c>
      <c r="I89" s="52">
        <v>6.2109999999999999E-2</v>
      </c>
      <c r="J89" s="6" t="s">
        <v>10</v>
      </c>
      <c r="K89" s="6">
        <f>AVERAGE(E111:E113)</f>
        <v>3.4573866666666664</v>
      </c>
    </row>
    <row r="90" spans="1:11" x14ac:dyDescent="0.3">
      <c r="A90" s="7" t="s">
        <v>11</v>
      </c>
      <c r="B90" s="8">
        <v>0.03</v>
      </c>
      <c r="C90" s="9">
        <v>60</v>
      </c>
      <c r="D90" s="9">
        <v>1</v>
      </c>
      <c r="E90" s="7">
        <v>22.07274</v>
      </c>
      <c r="F90" s="7">
        <v>3.1226500000000001</v>
      </c>
      <c r="G90" s="41">
        <v>3</v>
      </c>
      <c r="H90" s="52">
        <f t="shared" si="1"/>
        <v>253.06326114649679</v>
      </c>
      <c r="I90" s="52">
        <v>3.2759999999999997E-2</v>
      </c>
      <c r="J90" s="6" t="s">
        <v>11</v>
      </c>
      <c r="K90" s="6">
        <f>AVERAGE(E114:E116)</f>
        <v>4.3492899999999999</v>
      </c>
    </row>
    <row r="91" spans="1:11" x14ac:dyDescent="0.3">
      <c r="A91" s="7" t="s">
        <v>11</v>
      </c>
      <c r="B91" s="8">
        <v>0.03</v>
      </c>
      <c r="C91" s="9">
        <v>60</v>
      </c>
      <c r="D91" s="9">
        <v>2</v>
      </c>
      <c r="E91" s="7">
        <v>30.37726</v>
      </c>
      <c r="F91" s="7">
        <v>4.2975000000000003</v>
      </c>
      <c r="G91" s="41">
        <v>3</v>
      </c>
      <c r="H91" s="52">
        <f t="shared" si="1"/>
        <v>348.27431847133755</v>
      </c>
      <c r="I91" s="52">
        <v>1.026E-2</v>
      </c>
      <c r="J91" s="6" t="s">
        <v>12</v>
      </c>
      <c r="K91" s="6">
        <f>AVERAGE(E117:E119)</f>
        <v>2.4803999999999999</v>
      </c>
    </row>
    <row r="92" spans="1:11" x14ac:dyDescent="0.3">
      <c r="A92" s="7" t="s">
        <v>11</v>
      </c>
      <c r="B92" s="8">
        <v>0.03</v>
      </c>
      <c r="C92" s="9">
        <v>60</v>
      </c>
      <c r="D92" s="9">
        <v>3</v>
      </c>
      <c r="E92" s="7">
        <v>2.7162099999999998</v>
      </c>
      <c r="F92" s="7">
        <v>0.38427</v>
      </c>
      <c r="G92" s="41">
        <v>3</v>
      </c>
      <c r="H92" s="52">
        <f t="shared" si="1"/>
        <v>31.141261146496813</v>
      </c>
      <c r="I92" s="52">
        <v>3.5529999999999999E-2</v>
      </c>
      <c r="J92" s="6" t="s">
        <v>13</v>
      </c>
      <c r="K92" s="6">
        <f>AVERAGE(E120:E122)</f>
        <v>2.1343766666666668</v>
      </c>
    </row>
    <row r="93" spans="1:11" x14ac:dyDescent="0.3">
      <c r="A93" s="7" t="s">
        <v>12</v>
      </c>
      <c r="B93" s="8">
        <v>0.06</v>
      </c>
      <c r="C93" s="9">
        <v>60</v>
      </c>
      <c r="D93" s="9">
        <v>1</v>
      </c>
      <c r="E93" s="7">
        <v>81.94547</v>
      </c>
      <c r="F93" s="7">
        <v>11.59291</v>
      </c>
      <c r="G93" s="41">
        <v>3</v>
      </c>
      <c r="H93" s="52">
        <f t="shared" si="1"/>
        <v>939.50220382165594</v>
      </c>
      <c r="I93" s="52">
        <v>5.5660000000000001E-2</v>
      </c>
      <c r="J93" s="27" t="s">
        <v>10</v>
      </c>
      <c r="K93" s="27">
        <v>0</v>
      </c>
    </row>
    <row r="94" spans="1:11" x14ac:dyDescent="0.3">
      <c r="A94" s="7" t="s">
        <v>12</v>
      </c>
      <c r="B94" s="8">
        <v>0.06</v>
      </c>
      <c r="C94" s="9">
        <v>60</v>
      </c>
      <c r="D94" s="9">
        <v>2</v>
      </c>
      <c r="E94" s="7">
        <v>37.827759999999998</v>
      </c>
      <c r="F94" s="7">
        <v>5.3515300000000003</v>
      </c>
      <c r="G94" s="41">
        <v>3</v>
      </c>
      <c r="H94" s="52">
        <f t="shared" si="1"/>
        <v>433.69406369426747</v>
      </c>
      <c r="I94" s="52">
        <v>3.6970000000000003E-2</v>
      </c>
      <c r="J94" s="27" t="s">
        <v>11</v>
      </c>
      <c r="K94" s="27">
        <f>AVERAGE(E126:E128)</f>
        <v>2.9794466666666666</v>
      </c>
    </row>
    <row r="95" spans="1:11" x14ac:dyDescent="0.3">
      <c r="A95" s="7" t="s">
        <v>12</v>
      </c>
      <c r="B95" s="8">
        <v>0.06</v>
      </c>
      <c r="C95" s="9">
        <v>60</v>
      </c>
      <c r="D95" s="9">
        <v>3</v>
      </c>
      <c r="E95" s="7">
        <v>19.604859999999999</v>
      </c>
      <c r="F95" s="7">
        <v>2.77352</v>
      </c>
      <c r="G95" s="41">
        <v>3</v>
      </c>
      <c r="H95" s="52">
        <f t="shared" si="1"/>
        <v>224.76909554140127</v>
      </c>
      <c r="I95" s="52">
        <v>8.7499999999999994E-2</v>
      </c>
      <c r="J95" s="27" t="s">
        <v>12</v>
      </c>
      <c r="K95" s="27">
        <f>AVERAGE(E129:E131)</f>
        <v>0.79424666666666655</v>
      </c>
    </row>
    <row r="96" spans="1:11" x14ac:dyDescent="0.3">
      <c r="A96" s="7" t="s">
        <v>13</v>
      </c>
      <c r="B96" s="8">
        <v>0.09</v>
      </c>
      <c r="C96" s="9">
        <v>60</v>
      </c>
      <c r="D96" s="9">
        <v>1</v>
      </c>
      <c r="E96" s="7">
        <v>40.224089999999997</v>
      </c>
      <c r="F96" s="7">
        <v>5.6905400000000004</v>
      </c>
      <c r="G96" s="41">
        <v>3</v>
      </c>
      <c r="H96" s="52">
        <f t="shared" si="1"/>
        <v>461.16791082802541</v>
      </c>
      <c r="I96" s="52">
        <v>6.8949999999999997E-2</v>
      </c>
      <c r="J96" s="27" t="s">
        <v>13</v>
      </c>
      <c r="K96" s="27">
        <f>AVERAGE(E132:E134)</f>
        <v>4.1563033333333328</v>
      </c>
    </row>
    <row r="97" spans="1:11" x14ac:dyDescent="0.3">
      <c r="A97" s="7" t="s">
        <v>13</v>
      </c>
      <c r="B97" s="8">
        <v>0.09</v>
      </c>
      <c r="C97" s="9">
        <v>60</v>
      </c>
      <c r="D97" s="9">
        <v>2</v>
      </c>
      <c r="E97" s="7">
        <v>60.342910000000003</v>
      </c>
      <c r="F97" s="7">
        <v>8.5367800000000003</v>
      </c>
      <c r="G97" s="41">
        <v>3</v>
      </c>
      <c r="H97" s="52">
        <f t="shared" si="1"/>
        <v>691.8295414012739</v>
      </c>
      <c r="I97" s="52">
        <v>3.9079999999999997E-2</v>
      </c>
      <c r="J97" s="26" t="s">
        <v>10</v>
      </c>
      <c r="K97" s="26">
        <v>0</v>
      </c>
    </row>
    <row r="98" spans="1:11" x14ac:dyDescent="0.3">
      <c r="A98" s="7" t="s">
        <v>13</v>
      </c>
      <c r="B98" s="8">
        <v>0.09</v>
      </c>
      <c r="C98" s="9">
        <v>60</v>
      </c>
      <c r="D98" s="9">
        <v>3</v>
      </c>
      <c r="E98" s="7">
        <v>44.509010000000004</v>
      </c>
      <c r="F98" s="7">
        <v>6.2967399999999998</v>
      </c>
      <c r="G98" s="41">
        <v>3</v>
      </c>
      <c r="H98" s="52">
        <f t="shared" si="1"/>
        <v>510.2943821656051</v>
      </c>
      <c r="I98" s="52">
        <v>3.7240000000000002E-2</v>
      </c>
      <c r="J98" s="26" t="s">
        <v>11</v>
      </c>
      <c r="K98" s="26">
        <v>0</v>
      </c>
    </row>
    <row r="99" spans="1:11" x14ac:dyDescent="0.3">
      <c r="A99" s="10" t="s">
        <v>10</v>
      </c>
      <c r="B99" s="11">
        <v>0</v>
      </c>
      <c r="C99" s="12">
        <v>90</v>
      </c>
      <c r="D99" s="12">
        <v>1</v>
      </c>
      <c r="E99" s="10">
        <v>5.8148200000000001</v>
      </c>
      <c r="F99" s="10">
        <v>0.82262999999999997</v>
      </c>
      <c r="G99" s="53">
        <v>3</v>
      </c>
      <c r="H99" s="54">
        <f t="shared" si="1"/>
        <v>66.666726114649677</v>
      </c>
      <c r="I99" s="54">
        <v>2.6970000000000001E-2</v>
      </c>
      <c r="J99" s="26" t="s">
        <v>12</v>
      </c>
      <c r="K99" s="26">
        <v>0</v>
      </c>
    </row>
    <row r="100" spans="1:11" x14ac:dyDescent="0.3">
      <c r="A100" s="10" t="s">
        <v>10</v>
      </c>
      <c r="B100" s="11">
        <v>0</v>
      </c>
      <c r="C100" s="12">
        <v>90</v>
      </c>
      <c r="D100" s="12">
        <v>2</v>
      </c>
      <c r="E100" s="10">
        <v>9.6227</v>
      </c>
      <c r="F100" s="10">
        <v>1.3613299999999999</v>
      </c>
      <c r="G100" s="53">
        <v>3</v>
      </c>
      <c r="H100" s="54">
        <f t="shared" si="1"/>
        <v>110.32394904458599</v>
      </c>
      <c r="I100" s="54">
        <v>2.579E-2</v>
      </c>
      <c r="J100" s="26" t="s">
        <v>13</v>
      </c>
      <c r="K100" s="26">
        <v>0</v>
      </c>
    </row>
    <row r="101" spans="1:11" x14ac:dyDescent="0.3">
      <c r="A101" s="10" t="s">
        <v>10</v>
      </c>
      <c r="B101" s="11">
        <v>0</v>
      </c>
      <c r="C101" s="12">
        <v>90</v>
      </c>
      <c r="D101" s="12">
        <v>3</v>
      </c>
      <c r="E101" s="10">
        <v>2.2031100000000001</v>
      </c>
      <c r="F101" s="10">
        <v>0.31168000000000001</v>
      </c>
      <c r="G101" s="53">
        <v>3</v>
      </c>
      <c r="H101" s="54">
        <f t="shared" si="1"/>
        <v>25.258585987261146</v>
      </c>
      <c r="I101" s="54">
        <v>7.3699999999999998E-3</v>
      </c>
    </row>
    <row r="102" spans="1:11" x14ac:dyDescent="0.3">
      <c r="A102" s="10" t="s">
        <v>11</v>
      </c>
      <c r="B102" s="11">
        <v>0.03</v>
      </c>
      <c r="C102" s="12">
        <v>90</v>
      </c>
      <c r="D102" s="12">
        <v>1</v>
      </c>
      <c r="E102" s="10">
        <v>14.31711</v>
      </c>
      <c r="F102" s="10">
        <v>2.0254599999999998</v>
      </c>
      <c r="G102" s="53">
        <v>3</v>
      </c>
      <c r="H102" s="54">
        <f t="shared" si="1"/>
        <v>164.14521019108278</v>
      </c>
      <c r="I102" s="54">
        <v>1.0529999999999999E-2</v>
      </c>
    </row>
    <row r="103" spans="1:11" x14ac:dyDescent="0.3">
      <c r="A103" s="10" t="s">
        <v>11</v>
      </c>
      <c r="B103" s="11">
        <v>0.03</v>
      </c>
      <c r="C103" s="12">
        <v>90</v>
      </c>
      <c r="D103" s="12">
        <v>2</v>
      </c>
      <c r="E103" s="10">
        <v>4.1717500000000003</v>
      </c>
      <c r="F103" s="10">
        <v>0.59018000000000004</v>
      </c>
      <c r="G103" s="53">
        <v>3</v>
      </c>
      <c r="H103" s="54">
        <f t="shared" si="1"/>
        <v>47.828980891719752</v>
      </c>
      <c r="I103" s="54">
        <v>3.9469999999999998E-2</v>
      </c>
    </row>
    <row r="104" spans="1:11" x14ac:dyDescent="0.3">
      <c r="A104" s="10" t="s">
        <v>11</v>
      </c>
      <c r="B104" s="11">
        <v>0.03</v>
      </c>
      <c r="C104" s="12">
        <v>90</v>
      </c>
      <c r="D104" s="12">
        <v>3</v>
      </c>
      <c r="E104" s="10">
        <v>9.9475200000000008</v>
      </c>
      <c r="F104" s="10">
        <v>1.4072899999999999</v>
      </c>
      <c r="G104" s="53">
        <v>3</v>
      </c>
      <c r="H104" s="54">
        <f t="shared" si="1"/>
        <v>114.048</v>
      </c>
      <c r="I104" s="54">
        <v>2.0129999999999999E-2</v>
      </c>
    </row>
    <row r="105" spans="1:11" x14ac:dyDescent="0.3">
      <c r="A105" s="10" t="s">
        <v>12</v>
      </c>
      <c r="B105" s="11">
        <v>0.06</v>
      </c>
      <c r="C105" s="12">
        <v>90</v>
      </c>
      <c r="D105" s="12">
        <v>1</v>
      </c>
      <c r="E105" s="10">
        <v>14.124000000000001</v>
      </c>
      <c r="F105" s="10">
        <v>1.99814</v>
      </c>
      <c r="G105" s="53">
        <v>3</v>
      </c>
      <c r="H105" s="54">
        <f t="shared" si="1"/>
        <v>161.93121019108278</v>
      </c>
      <c r="I105" s="54">
        <v>8.2369999999999999E-2</v>
      </c>
    </row>
    <row r="106" spans="1:11" x14ac:dyDescent="0.3">
      <c r="A106" s="10" t="s">
        <v>12</v>
      </c>
      <c r="B106" s="11">
        <v>0.06</v>
      </c>
      <c r="C106" s="12">
        <v>90</v>
      </c>
      <c r="D106" s="12">
        <v>2</v>
      </c>
      <c r="E106" s="10">
        <v>3.2518500000000001</v>
      </c>
      <c r="F106" s="10">
        <v>0.46004</v>
      </c>
      <c r="G106" s="53">
        <v>3</v>
      </c>
      <c r="H106" s="54">
        <f t="shared" si="1"/>
        <v>37.282356687898087</v>
      </c>
      <c r="I106" s="54">
        <v>2.3550000000000001E-2</v>
      </c>
    </row>
    <row r="107" spans="1:11" x14ac:dyDescent="0.3">
      <c r="A107" s="10" t="s">
        <v>12</v>
      </c>
      <c r="B107" s="11">
        <v>0.06</v>
      </c>
      <c r="C107" s="12">
        <v>90</v>
      </c>
      <c r="D107" s="12">
        <v>3</v>
      </c>
      <c r="E107" s="10">
        <v>5.5630300000000004</v>
      </c>
      <c r="F107" s="10">
        <v>0.78700999999999999</v>
      </c>
      <c r="G107" s="53">
        <v>3</v>
      </c>
      <c r="H107" s="54">
        <f t="shared" si="1"/>
        <v>63.779961783439497</v>
      </c>
      <c r="I107" s="54">
        <v>2.724E-2</v>
      </c>
    </row>
    <row r="108" spans="1:11" x14ac:dyDescent="0.3">
      <c r="A108" s="10" t="s">
        <v>13</v>
      </c>
      <c r="B108" s="11">
        <v>0.09</v>
      </c>
      <c r="C108" s="12">
        <v>90</v>
      </c>
      <c r="D108" s="12">
        <v>1</v>
      </c>
      <c r="E108" s="10">
        <v>47.355670000000003</v>
      </c>
      <c r="F108" s="10">
        <v>6.6994600000000002</v>
      </c>
      <c r="G108" s="53">
        <v>3</v>
      </c>
      <c r="H108" s="54">
        <f t="shared" si="1"/>
        <v>542.93124840764335</v>
      </c>
      <c r="I108" s="54">
        <v>4.3159999999999997E-2</v>
      </c>
    </row>
    <row r="109" spans="1:11" x14ac:dyDescent="0.3">
      <c r="A109" s="10" t="s">
        <v>13</v>
      </c>
      <c r="B109" s="11">
        <v>0.09</v>
      </c>
      <c r="C109" s="12">
        <v>90</v>
      </c>
      <c r="D109" s="12">
        <v>2</v>
      </c>
      <c r="E109" s="10">
        <v>21.77647</v>
      </c>
      <c r="F109" s="10">
        <v>3.08074</v>
      </c>
      <c r="G109" s="53">
        <v>3</v>
      </c>
      <c r="H109" s="54">
        <f t="shared" si="1"/>
        <v>249.6665350318471</v>
      </c>
      <c r="I109" s="54">
        <v>7.1580000000000005E-2</v>
      </c>
    </row>
    <row r="110" spans="1:11" x14ac:dyDescent="0.3">
      <c r="A110" s="10" t="s">
        <v>13</v>
      </c>
      <c r="B110" s="11">
        <v>0.09</v>
      </c>
      <c r="C110" s="12">
        <v>90</v>
      </c>
      <c r="D110" s="12">
        <v>3</v>
      </c>
      <c r="E110" s="10">
        <v>42.167180000000002</v>
      </c>
      <c r="F110" s="10">
        <v>5.9654400000000001</v>
      </c>
      <c r="G110" s="53">
        <v>3</v>
      </c>
      <c r="H110" s="54">
        <f t="shared" si="1"/>
        <v>483.44537579617838</v>
      </c>
      <c r="I110" s="54">
        <v>6.7760000000000001E-2</v>
      </c>
    </row>
    <row r="111" spans="1:11" x14ac:dyDescent="0.3">
      <c r="A111" s="13" t="s">
        <v>10</v>
      </c>
      <c r="B111" s="14">
        <v>0</v>
      </c>
      <c r="C111" s="15">
        <v>120</v>
      </c>
      <c r="D111" s="15">
        <v>1</v>
      </c>
      <c r="E111" s="13">
        <v>5.59023</v>
      </c>
      <c r="F111" s="13">
        <v>0.79086000000000001</v>
      </c>
      <c r="G111" s="57">
        <v>3</v>
      </c>
      <c r="H111" s="58">
        <f t="shared" si="1"/>
        <v>64.091808917197454</v>
      </c>
      <c r="I111" s="58">
        <v>1.6580000000000001E-2</v>
      </c>
    </row>
    <row r="112" spans="1:11" x14ac:dyDescent="0.3">
      <c r="A112" s="13" t="s">
        <v>10</v>
      </c>
      <c r="B112" s="14">
        <v>0</v>
      </c>
      <c r="C112" s="15">
        <v>120</v>
      </c>
      <c r="D112" s="15">
        <v>2</v>
      </c>
      <c r="E112" s="13">
        <v>2.1783600000000001</v>
      </c>
      <c r="F112" s="13">
        <v>0.30817</v>
      </c>
      <c r="G112" s="57">
        <v>3</v>
      </c>
      <c r="H112" s="58">
        <f t="shared" si="1"/>
        <v>24.974828025477709</v>
      </c>
      <c r="I112" s="58">
        <v>2.3290000000000002E-2</v>
      </c>
    </row>
    <row r="113" spans="1:9" x14ac:dyDescent="0.3">
      <c r="A113" s="13" t="s">
        <v>10</v>
      </c>
      <c r="B113" s="14">
        <v>0</v>
      </c>
      <c r="C113" s="15">
        <v>120</v>
      </c>
      <c r="D113" s="15">
        <v>3</v>
      </c>
      <c r="E113" s="13">
        <v>2.6035699999999999</v>
      </c>
      <c r="F113" s="13">
        <v>0.36832999999999999</v>
      </c>
      <c r="G113" s="57">
        <v>3</v>
      </c>
      <c r="H113" s="58">
        <f t="shared" si="1"/>
        <v>29.849847133757962</v>
      </c>
      <c r="I113" s="58">
        <v>2.605E-2</v>
      </c>
    </row>
    <row r="114" spans="1:9" x14ac:dyDescent="0.3">
      <c r="A114" s="13" t="s">
        <v>11</v>
      </c>
      <c r="B114" s="14">
        <v>0.03</v>
      </c>
      <c r="C114" s="15">
        <v>120</v>
      </c>
      <c r="D114" s="15">
        <v>1</v>
      </c>
      <c r="E114" s="13">
        <v>4.7715399999999999</v>
      </c>
      <c r="F114" s="13">
        <v>0.67503000000000002</v>
      </c>
      <c r="G114" s="57">
        <v>3</v>
      </c>
      <c r="H114" s="58">
        <f t="shared" si="1"/>
        <v>54.705554140127383</v>
      </c>
      <c r="I114" s="58">
        <v>2.724E-2</v>
      </c>
    </row>
    <row r="115" spans="1:9" x14ac:dyDescent="0.3">
      <c r="A115" s="13" t="s">
        <v>11</v>
      </c>
      <c r="B115" s="14">
        <v>0.03</v>
      </c>
      <c r="C115" s="15">
        <v>120</v>
      </c>
      <c r="D115" s="15">
        <v>2</v>
      </c>
      <c r="E115" s="13">
        <v>1.62486</v>
      </c>
      <c r="F115" s="13">
        <v>0.22986999999999999</v>
      </c>
      <c r="G115" s="57">
        <v>3</v>
      </c>
      <c r="H115" s="58">
        <f t="shared" si="1"/>
        <v>18.628968152866243</v>
      </c>
      <c r="I115" s="58">
        <v>1.6969999999999999E-2</v>
      </c>
    </row>
    <row r="116" spans="1:9" x14ac:dyDescent="0.3">
      <c r="A116" s="13" t="s">
        <v>11</v>
      </c>
      <c r="B116" s="14">
        <v>0.03</v>
      </c>
      <c r="C116" s="15">
        <v>120</v>
      </c>
      <c r="D116" s="15">
        <v>3</v>
      </c>
      <c r="E116" s="13">
        <v>6.6514699999999998</v>
      </c>
      <c r="F116" s="13">
        <v>0.94098999999999999</v>
      </c>
      <c r="G116" s="57">
        <v>3</v>
      </c>
      <c r="H116" s="58">
        <f t="shared" si="1"/>
        <v>76.258891719745208</v>
      </c>
      <c r="I116" s="58">
        <v>3.4079999999999999E-2</v>
      </c>
    </row>
    <row r="117" spans="1:9" x14ac:dyDescent="0.3">
      <c r="A117" s="13" t="s">
        <v>12</v>
      </c>
      <c r="B117" s="14">
        <v>0.06</v>
      </c>
      <c r="C117" s="15">
        <v>120</v>
      </c>
      <c r="D117" s="15">
        <v>1</v>
      </c>
      <c r="E117" s="13">
        <v>3.4534199999999999</v>
      </c>
      <c r="F117" s="13">
        <v>0.48855999999999999</v>
      </c>
      <c r="G117" s="57">
        <v>3</v>
      </c>
      <c r="H117" s="58">
        <f t="shared" si="1"/>
        <v>39.59335031847133</v>
      </c>
      <c r="I117" s="58">
        <v>2.6579999999999999E-2</v>
      </c>
    </row>
    <row r="118" spans="1:9" x14ac:dyDescent="0.3">
      <c r="A118" s="13" t="s">
        <v>12</v>
      </c>
      <c r="B118" s="14">
        <v>0.06</v>
      </c>
      <c r="C118" s="15">
        <v>120</v>
      </c>
      <c r="D118" s="15">
        <v>2</v>
      </c>
      <c r="E118" s="13">
        <v>1.2709999999999999</v>
      </c>
      <c r="F118" s="13">
        <v>0.17981</v>
      </c>
      <c r="G118" s="57">
        <v>3</v>
      </c>
      <c r="H118" s="58">
        <f t="shared" si="1"/>
        <v>14.571974522292992</v>
      </c>
      <c r="I118" s="58">
        <v>3.8420000000000003E-2</v>
      </c>
    </row>
    <row r="119" spans="1:9" x14ac:dyDescent="0.3">
      <c r="A119" s="13" t="s">
        <v>12</v>
      </c>
      <c r="B119" s="14">
        <v>0.06</v>
      </c>
      <c r="C119" s="15">
        <v>120</v>
      </c>
      <c r="D119" s="15">
        <v>3</v>
      </c>
      <c r="E119" s="13">
        <v>2.71678</v>
      </c>
      <c r="F119" s="13">
        <v>0.38435000000000002</v>
      </c>
      <c r="G119" s="57">
        <v>3</v>
      </c>
      <c r="H119" s="58">
        <f t="shared" si="1"/>
        <v>31.147796178343945</v>
      </c>
      <c r="I119" s="58">
        <v>3.8159999999999999E-2</v>
      </c>
    </row>
    <row r="120" spans="1:9" x14ac:dyDescent="0.3">
      <c r="A120" s="13" t="s">
        <v>13</v>
      </c>
      <c r="B120" s="14">
        <v>0.09</v>
      </c>
      <c r="C120" s="15">
        <v>120</v>
      </c>
      <c r="D120" s="15">
        <v>1</v>
      </c>
      <c r="E120" s="13">
        <v>2.6018699999999999</v>
      </c>
      <c r="F120" s="13">
        <v>0.36808999999999997</v>
      </c>
      <c r="G120" s="57">
        <v>3</v>
      </c>
      <c r="H120" s="58">
        <f t="shared" si="1"/>
        <v>29.830356687898089</v>
      </c>
      <c r="I120" s="58">
        <v>8.0920000000000006E-2</v>
      </c>
    </row>
    <row r="121" spans="1:9" x14ac:dyDescent="0.3">
      <c r="A121" s="13" t="s">
        <v>13</v>
      </c>
      <c r="B121" s="14">
        <v>0.09</v>
      </c>
      <c r="C121" s="15">
        <v>120</v>
      </c>
      <c r="D121" s="15">
        <v>2</v>
      </c>
      <c r="E121" s="13">
        <v>2.63957</v>
      </c>
      <c r="F121" s="13">
        <v>0.37341999999999997</v>
      </c>
      <c r="G121" s="57">
        <v>3</v>
      </c>
      <c r="H121" s="58">
        <f t="shared" si="1"/>
        <v>30.262585987261147</v>
      </c>
      <c r="I121" s="58">
        <v>1.2630000000000001E-2</v>
      </c>
    </row>
    <row r="122" spans="1:9" x14ac:dyDescent="0.3">
      <c r="A122" s="13" t="s">
        <v>13</v>
      </c>
      <c r="B122" s="14">
        <v>0.09</v>
      </c>
      <c r="C122" s="15">
        <v>120</v>
      </c>
      <c r="D122" s="15">
        <v>3</v>
      </c>
      <c r="E122" s="13">
        <v>1.1616899999999999</v>
      </c>
      <c r="F122" s="13">
        <v>0.16435</v>
      </c>
      <c r="G122" s="57">
        <v>3</v>
      </c>
      <c r="H122" s="58">
        <f t="shared" si="1"/>
        <v>13.318738853503183</v>
      </c>
      <c r="I122" s="58">
        <v>1.934E-2</v>
      </c>
    </row>
    <row r="123" spans="1:9" x14ac:dyDescent="0.3">
      <c r="A123" s="31" t="s">
        <v>10</v>
      </c>
      <c r="B123" s="32">
        <v>0</v>
      </c>
      <c r="C123" s="33">
        <v>150</v>
      </c>
      <c r="D123" s="33">
        <v>1</v>
      </c>
      <c r="E123" s="31" t="s">
        <v>14</v>
      </c>
      <c r="F123" s="31" t="s">
        <v>14</v>
      </c>
      <c r="G123" s="55">
        <v>3</v>
      </c>
      <c r="H123" s="56" t="s">
        <v>21</v>
      </c>
      <c r="I123" s="56" t="s">
        <v>21</v>
      </c>
    </row>
    <row r="124" spans="1:9" x14ac:dyDescent="0.3">
      <c r="A124" s="31" t="s">
        <v>10</v>
      </c>
      <c r="B124" s="32">
        <v>0</v>
      </c>
      <c r="C124" s="33">
        <v>150</v>
      </c>
      <c r="D124" s="33">
        <v>2</v>
      </c>
      <c r="E124" s="31" t="s">
        <v>14</v>
      </c>
      <c r="F124" s="31" t="s">
        <v>14</v>
      </c>
      <c r="G124" s="55">
        <v>3</v>
      </c>
      <c r="H124" s="56" t="s">
        <v>21</v>
      </c>
      <c r="I124" s="56" t="s">
        <v>21</v>
      </c>
    </row>
    <row r="125" spans="1:9" x14ac:dyDescent="0.3">
      <c r="A125" s="31" t="s">
        <v>10</v>
      </c>
      <c r="B125" s="32">
        <v>0</v>
      </c>
      <c r="C125" s="33">
        <v>150</v>
      </c>
      <c r="D125" s="33">
        <v>3</v>
      </c>
      <c r="E125" s="31" t="s">
        <v>14</v>
      </c>
      <c r="F125" s="31" t="s">
        <v>14</v>
      </c>
      <c r="G125" s="55">
        <v>3</v>
      </c>
      <c r="H125" s="56" t="s">
        <v>21</v>
      </c>
      <c r="I125" s="56" t="s">
        <v>21</v>
      </c>
    </row>
    <row r="126" spans="1:9" x14ac:dyDescent="0.3">
      <c r="A126" s="31" t="s">
        <v>11</v>
      </c>
      <c r="B126" s="32">
        <v>0.03</v>
      </c>
      <c r="C126" s="33">
        <v>150</v>
      </c>
      <c r="D126" s="33">
        <v>1</v>
      </c>
      <c r="E126" s="31">
        <v>4.0895900000000003</v>
      </c>
      <c r="F126" s="31">
        <v>0.57855999999999996</v>
      </c>
      <c r="G126" s="55">
        <v>3</v>
      </c>
      <c r="H126" s="56">
        <f t="shared" si="1"/>
        <v>46.887019108280256</v>
      </c>
      <c r="I126" s="56">
        <v>3.9609999999999999E-2</v>
      </c>
    </row>
    <row r="127" spans="1:9" x14ac:dyDescent="0.3">
      <c r="A127" s="31" t="s">
        <v>11</v>
      </c>
      <c r="B127" s="32">
        <v>0.03</v>
      </c>
      <c r="C127" s="33">
        <v>150</v>
      </c>
      <c r="D127" s="33">
        <v>2</v>
      </c>
      <c r="E127" s="31">
        <v>3.6957599999999999</v>
      </c>
      <c r="F127" s="31">
        <v>0.52283999999999997</v>
      </c>
      <c r="G127" s="55">
        <v>3</v>
      </c>
      <c r="H127" s="56">
        <f t="shared" si="1"/>
        <v>42.371770700636937</v>
      </c>
      <c r="I127" s="56">
        <v>9.7400000000000004E-3</v>
      </c>
    </row>
    <row r="128" spans="1:9" x14ac:dyDescent="0.3">
      <c r="A128" s="31" t="s">
        <v>11</v>
      </c>
      <c r="B128" s="32">
        <v>0.03</v>
      </c>
      <c r="C128" s="33">
        <v>150</v>
      </c>
      <c r="D128" s="33">
        <v>3</v>
      </c>
      <c r="E128" s="31">
        <v>1.15299</v>
      </c>
      <c r="F128" s="31">
        <v>0.16311999999999999</v>
      </c>
      <c r="G128" s="55">
        <v>3</v>
      </c>
      <c r="H128" s="56">
        <f t="shared" si="1"/>
        <v>13.218993630573248</v>
      </c>
      <c r="I128" s="56">
        <v>1.4080000000000001E-2</v>
      </c>
    </row>
    <row r="129" spans="1:9" x14ac:dyDescent="0.3">
      <c r="A129" s="31" t="s">
        <v>12</v>
      </c>
      <c r="B129" s="32">
        <v>0.06</v>
      </c>
      <c r="C129" s="33">
        <v>150</v>
      </c>
      <c r="D129" s="33">
        <v>1</v>
      </c>
      <c r="E129" s="31">
        <v>1.5910599999999999</v>
      </c>
      <c r="F129" s="31">
        <v>0.22509000000000001</v>
      </c>
      <c r="G129" s="55">
        <v>3</v>
      </c>
      <c r="H129" s="56">
        <f t="shared" si="1"/>
        <v>18.241452229299359</v>
      </c>
      <c r="I129" s="56">
        <v>3.8159999999999999E-2</v>
      </c>
    </row>
    <row r="130" spans="1:9" x14ac:dyDescent="0.3">
      <c r="A130" s="31" t="s">
        <v>12</v>
      </c>
      <c r="B130" s="32">
        <v>0.06</v>
      </c>
      <c r="C130" s="33">
        <v>150</v>
      </c>
      <c r="D130" s="33">
        <v>2</v>
      </c>
      <c r="E130" s="31">
        <v>0.30730000000000002</v>
      </c>
      <c r="F130" s="31">
        <v>4.3470000000000002E-2</v>
      </c>
      <c r="G130" s="55">
        <v>3</v>
      </c>
      <c r="H130" s="56">
        <f t="shared" si="1"/>
        <v>3.5231847133757963</v>
      </c>
      <c r="I130" s="56">
        <v>3.4470000000000001E-2</v>
      </c>
    </row>
    <row r="131" spans="1:9" x14ac:dyDescent="0.3">
      <c r="A131" s="31" t="s">
        <v>12</v>
      </c>
      <c r="B131" s="32">
        <v>0.06</v>
      </c>
      <c r="C131" s="33">
        <v>150</v>
      </c>
      <c r="D131" s="33">
        <v>3</v>
      </c>
      <c r="E131" s="31">
        <v>0.48437999999999998</v>
      </c>
      <c r="F131" s="31">
        <v>6.8529999999999994E-2</v>
      </c>
      <c r="G131" s="55">
        <v>3</v>
      </c>
      <c r="H131" s="56">
        <f>(E131/0.785*(G131*G131))</f>
        <v>5.55340127388535</v>
      </c>
      <c r="I131" s="56">
        <v>9.2099999999999994E-3</v>
      </c>
    </row>
    <row r="132" spans="1:9" x14ac:dyDescent="0.3">
      <c r="A132" s="31" t="s">
        <v>13</v>
      </c>
      <c r="B132" s="32">
        <v>0.09</v>
      </c>
      <c r="C132" s="33">
        <v>150</v>
      </c>
      <c r="D132" s="33">
        <v>1</v>
      </c>
      <c r="E132" s="31">
        <v>4.3232200000000001</v>
      </c>
      <c r="F132" s="31">
        <v>0.61160999999999999</v>
      </c>
      <c r="G132" s="55">
        <v>3</v>
      </c>
      <c r="H132" s="56">
        <f>(E132/0.785*(G132*G132))</f>
        <v>49.565579617834395</v>
      </c>
      <c r="I132" s="56">
        <v>4.1450000000000001E-2</v>
      </c>
    </row>
    <row r="133" spans="1:9" x14ac:dyDescent="0.3">
      <c r="A133" s="31" t="s">
        <v>13</v>
      </c>
      <c r="B133" s="32">
        <v>0.09</v>
      </c>
      <c r="C133" s="33">
        <v>150</v>
      </c>
      <c r="D133" s="33">
        <v>2</v>
      </c>
      <c r="E133" s="31">
        <v>3.4497399999999998</v>
      </c>
      <c r="F133" s="31">
        <v>0.48803999999999997</v>
      </c>
      <c r="G133" s="55">
        <v>3</v>
      </c>
      <c r="H133" s="56">
        <f>(E133/0.785*(G133*G133))</f>
        <v>39.551159235668791</v>
      </c>
      <c r="I133" s="56">
        <v>4.2500000000000003E-2</v>
      </c>
    </row>
    <row r="134" spans="1:9" x14ac:dyDescent="0.3">
      <c r="A134" s="31" t="s">
        <v>13</v>
      </c>
      <c r="B134" s="32">
        <v>0.09</v>
      </c>
      <c r="C134" s="33">
        <v>150</v>
      </c>
      <c r="D134" s="33">
        <v>3</v>
      </c>
      <c r="E134" s="31">
        <v>4.6959499999999998</v>
      </c>
      <c r="F134" s="31">
        <v>0.66434000000000004</v>
      </c>
      <c r="G134" s="55">
        <v>3</v>
      </c>
      <c r="H134" s="56">
        <f>(E134/0.785*(G134*G134))</f>
        <v>53.838917197452218</v>
      </c>
      <c r="I134" s="56">
        <v>1.289E-2</v>
      </c>
    </row>
    <row r="135" spans="1:9" x14ac:dyDescent="0.3">
      <c r="A135" s="28" t="s">
        <v>10</v>
      </c>
      <c r="B135" s="29">
        <v>0</v>
      </c>
      <c r="C135" s="30">
        <v>180</v>
      </c>
      <c r="D135" s="30">
        <v>1</v>
      </c>
      <c r="E135" s="28" t="s">
        <v>14</v>
      </c>
      <c r="F135" s="28" t="s">
        <v>14</v>
      </c>
      <c r="G135" s="59">
        <v>3</v>
      </c>
      <c r="H135" s="60" t="s">
        <v>21</v>
      </c>
      <c r="I135" s="60" t="s">
        <v>21</v>
      </c>
    </row>
    <row r="136" spans="1:9" x14ac:dyDescent="0.3">
      <c r="A136" s="28" t="s">
        <v>10</v>
      </c>
      <c r="B136" s="29">
        <v>0</v>
      </c>
      <c r="C136" s="30">
        <v>180</v>
      </c>
      <c r="D136" s="30">
        <v>2</v>
      </c>
      <c r="E136" s="28" t="s">
        <v>14</v>
      </c>
      <c r="F136" s="28" t="s">
        <v>14</v>
      </c>
      <c r="G136" s="59">
        <v>3</v>
      </c>
      <c r="H136" s="60" t="s">
        <v>21</v>
      </c>
      <c r="I136" s="60" t="s">
        <v>21</v>
      </c>
    </row>
    <row r="137" spans="1:9" x14ac:dyDescent="0.3">
      <c r="A137" s="28" t="s">
        <v>10</v>
      </c>
      <c r="B137" s="29">
        <v>0</v>
      </c>
      <c r="C137" s="30">
        <v>180</v>
      </c>
      <c r="D137" s="30">
        <v>3</v>
      </c>
      <c r="E137" s="28" t="s">
        <v>14</v>
      </c>
      <c r="F137" s="28" t="s">
        <v>14</v>
      </c>
      <c r="G137" s="59">
        <v>3</v>
      </c>
      <c r="H137" s="60" t="s">
        <v>21</v>
      </c>
      <c r="I137" s="60" t="s">
        <v>21</v>
      </c>
    </row>
    <row r="138" spans="1:9" x14ac:dyDescent="0.3">
      <c r="A138" s="28" t="s">
        <v>11</v>
      </c>
      <c r="B138" s="29">
        <v>0.03</v>
      </c>
      <c r="C138" s="30">
        <v>180</v>
      </c>
      <c r="D138" s="30">
        <v>1</v>
      </c>
      <c r="E138" s="28" t="s">
        <v>14</v>
      </c>
      <c r="F138" s="28" t="s">
        <v>14</v>
      </c>
      <c r="G138" s="59">
        <v>3</v>
      </c>
      <c r="H138" s="60" t="s">
        <v>21</v>
      </c>
      <c r="I138" s="60" t="s">
        <v>21</v>
      </c>
    </row>
    <row r="139" spans="1:9" x14ac:dyDescent="0.3">
      <c r="A139" s="28" t="s">
        <v>11</v>
      </c>
      <c r="B139" s="29">
        <v>0.03</v>
      </c>
      <c r="C139" s="30">
        <v>180</v>
      </c>
      <c r="D139" s="30">
        <v>2</v>
      </c>
      <c r="E139" s="28" t="s">
        <v>14</v>
      </c>
      <c r="F139" s="28" t="s">
        <v>14</v>
      </c>
      <c r="G139" s="59">
        <v>3</v>
      </c>
      <c r="H139" s="60" t="s">
        <v>21</v>
      </c>
      <c r="I139" s="60" t="s">
        <v>21</v>
      </c>
    </row>
    <row r="140" spans="1:9" x14ac:dyDescent="0.3">
      <c r="A140" s="28" t="s">
        <v>11</v>
      </c>
      <c r="B140" s="29">
        <v>0.03</v>
      </c>
      <c r="C140" s="30">
        <v>180</v>
      </c>
      <c r="D140" s="30">
        <v>3</v>
      </c>
      <c r="E140" s="28" t="s">
        <v>14</v>
      </c>
      <c r="F140" s="28" t="s">
        <v>14</v>
      </c>
      <c r="G140" s="59">
        <v>3</v>
      </c>
      <c r="H140" s="60" t="s">
        <v>21</v>
      </c>
      <c r="I140" s="60" t="s">
        <v>21</v>
      </c>
    </row>
    <row r="141" spans="1:9" x14ac:dyDescent="0.3">
      <c r="A141" s="28" t="s">
        <v>12</v>
      </c>
      <c r="B141" s="29">
        <v>0.06</v>
      </c>
      <c r="C141" s="30">
        <v>180</v>
      </c>
      <c r="D141" s="30">
        <v>1</v>
      </c>
      <c r="E141" s="28" t="s">
        <v>14</v>
      </c>
      <c r="F141" s="28" t="s">
        <v>14</v>
      </c>
      <c r="G141" s="59">
        <v>3</v>
      </c>
      <c r="H141" s="60" t="s">
        <v>21</v>
      </c>
      <c r="I141" s="60" t="s">
        <v>21</v>
      </c>
    </row>
    <row r="142" spans="1:9" x14ac:dyDescent="0.3">
      <c r="A142" s="28" t="s">
        <v>12</v>
      </c>
      <c r="B142" s="29">
        <v>0.06</v>
      </c>
      <c r="C142" s="30">
        <v>180</v>
      </c>
      <c r="D142" s="30">
        <v>2</v>
      </c>
      <c r="E142" s="28" t="s">
        <v>14</v>
      </c>
      <c r="F142" s="28" t="s">
        <v>14</v>
      </c>
      <c r="G142" s="59">
        <v>3</v>
      </c>
      <c r="H142" s="60" t="s">
        <v>21</v>
      </c>
      <c r="I142" s="60" t="s">
        <v>21</v>
      </c>
    </row>
    <row r="143" spans="1:9" x14ac:dyDescent="0.3">
      <c r="A143" s="28" t="s">
        <v>12</v>
      </c>
      <c r="B143" s="29">
        <v>0.06</v>
      </c>
      <c r="C143" s="30">
        <v>180</v>
      </c>
      <c r="D143" s="30">
        <v>3</v>
      </c>
      <c r="E143" s="28" t="s">
        <v>14</v>
      </c>
      <c r="F143" s="28" t="s">
        <v>14</v>
      </c>
      <c r="G143" s="59">
        <v>3</v>
      </c>
      <c r="H143" s="60" t="s">
        <v>21</v>
      </c>
      <c r="I143" s="60" t="s">
        <v>21</v>
      </c>
    </row>
    <row r="144" spans="1:9" x14ac:dyDescent="0.3">
      <c r="A144" s="28" t="s">
        <v>13</v>
      </c>
      <c r="B144" s="29">
        <v>0.09</v>
      </c>
      <c r="C144" s="30">
        <v>180</v>
      </c>
      <c r="D144" s="30">
        <v>1</v>
      </c>
      <c r="E144" s="28" t="s">
        <v>14</v>
      </c>
      <c r="F144" s="28" t="s">
        <v>14</v>
      </c>
      <c r="G144" s="59">
        <v>3</v>
      </c>
      <c r="H144" s="60" t="s">
        <v>21</v>
      </c>
      <c r="I144" s="60" t="s">
        <v>21</v>
      </c>
    </row>
    <row r="145" spans="1:9" x14ac:dyDescent="0.3">
      <c r="A145" s="28" t="s">
        <v>13</v>
      </c>
      <c r="B145" s="29">
        <v>0.09</v>
      </c>
      <c r="C145" s="30">
        <v>180</v>
      </c>
      <c r="D145" s="30">
        <v>2</v>
      </c>
      <c r="E145" s="28" t="s">
        <v>14</v>
      </c>
      <c r="F145" s="28" t="s">
        <v>14</v>
      </c>
      <c r="G145" s="59">
        <v>3</v>
      </c>
      <c r="H145" s="60" t="s">
        <v>21</v>
      </c>
      <c r="I145" s="60" t="s">
        <v>21</v>
      </c>
    </row>
    <row r="146" spans="1:9" x14ac:dyDescent="0.3">
      <c r="A146" s="28" t="s">
        <v>13</v>
      </c>
      <c r="B146" s="29">
        <v>0.09</v>
      </c>
      <c r="C146" s="30">
        <v>180</v>
      </c>
      <c r="D146" s="30">
        <v>3</v>
      </c>
      <c r="E146" s="28" t="s">
        <v>14</v>
      </c>
      <c r="F146" s="28" t="s">
        <v>14</v>
      </c>
      <c r="G146" s="59">
        <v>3</v>
      </c>
      <c r="H146" s="60" t="s">
        <v>21</v>
      </c>
      <c r="I146" s="60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span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Planilha1!K77:K77</xm:f>
              <xm:sqref>L77</xm:sqref>
            </x14:sparkline>
            <x14:sparkline>
              <xm:f>Planilha1!K78:K78</xm:f>
              <xm:sqref>L78</xm:sqref>
            </x14:sparkline>
            <x14:sparkline>
              <xm:f>Planilha1!K79:K79</xm:f>
              <xm:sqref>L79</xm:sqref>
            </x14:sparkline>
            <x14:sparkline>
              <xm:f>Planilha1!K80:K80</xm:f>
              <xm:sqref>L80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A3" sqref="A3"/>
    </sheetView>
  </sheetViews>
  <sheetFormatPr defaultRowHeight="14.4" x14ac:dyDescent="0.3"/>
  <cols>
    <col min="1" max="1" width="13.88671875" customWidth="1"/>
    <col min="2" max="2" width="14.21875" customWidth="1"/>
    <col min="11" max="11" width="11.44140625" bestFit="1" customWidth="1"/>
  </cols>
  <sheetData>
    <row r="1" spans="1:7" ht="15" thickBot="1" x14ac:dyDescent="0.35">
      <c r="A1" t="s">
        <v>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ht="15" thickBot="1" x14ac:dyDescent="0.35">
      <c r="A2" t="s">
        <v>6</v>
      </c>
      <c r="B2" s="64">
        <v>994.12769430000003</v>
      </c>
      <c r="C2" s="64">
        <v>909.29640759999995</v>
      </c>
      <c r="D2" s="64">
        <v>532.67228030000001</v>
      </c>
      <c r="E2" s="64">
        <v>605.45377069999995</v>
      </c>
      <c r="F2" s="64">
        <v>426.43375800000001</v>
      </c>
      <c r="G2" s="64">
        <v>293.04298089999998</v>
      </c>
    </row>
    <row r="3" spans="1:7" ht="15" thickBot="1" x14ac:dyDescent="0.35">
      <c r="A3" t="s">
        <v>7</v>
      </c>
      <c r="B3" s="64">
        <v>728.52030569999999</v>
      </c>
      <c r="C3" s="64">
        <v>422.78969430000001</v>
      </c>
      <c r="D3" s="64">
        <v>460.86194899999998</v>
      </c>
      <c r="E3" s="64">
        <v>218.2246624</v>
      </c>
      <c r="F3" s="64">
        <v>206.3055669</v>
      </c>
      <c r="G3" s="64">
        <v>162.39840760000001</v>
      </c>
    </row>
    <row r="4" spans="1:7" ht="15" thickBot="1" x14ac:dyDescent="0.35">
      <c r="A4" t="s">
        <v>8</v>
      </c>
      <c r="B4" s="64">
        <v>395.01332480000002</v>
      </c>
      <c r="C4" s="64">
        <v>453.22643310000001</v>
      </c>
      <c r="D4" s="64">
        <v>412.62573250000003</v>
      </c>
      <c r="E4" s="64">
        <v>250.24307010000001</v>
      </c>
      <c r="F4" s="64">
        <v>346.11332479999999</v>
      </c>
      <c r="G4" s="64">
        <v>52.736407640000003</v>
      </c>
    </row>
    <row r="5" spans="1:7" ht="15" thickBot="1" x14ac:dyDescent="0.35">
      <c r="A5" t="s">
        <v>9</v>
      </c>
      <c r="B5" s="64">
        <v>314.61343950000003</v>
      </c>
      <c r="C5" s="64">
        <v>295.33364330000001</v>
      </c>
      <c r="D5" s="64">
        <v>220.0159108</v>
      </c>
      <c r="E5" s="64">
        <v>143.34099359999999</v>
      </c>
      <c r="F5" s="64">
        <v>144.24756690000001</v>
      </c>
      <c r="G5" s="64">
        <v>75.362751590000002</v>
      </c>
    </row>
    <row r="6" spans="1:7" ht="15" thickBot="1" x14ac:dyDescent="0.35">
      <c r="A6" t="s">
        <v>10</v>
      </c>
      <c r="B6" s="70">
        <v>2016.955911</v>
      </c>
      <c r="C6" s="70">
        <v>164.33033119999999</v>
      </c>
      <c r="D6" s="70">
        <v>67.416420380000005</v>
      </c>
      <c r="E6" s="70">
        <v>39.638828029999999</v>
      </c>
      <c r="F6" s="70">
        <v>0</v>
      </c>
      <c r="G6" s="70">
        <v>0</v>
      </c>
    </row>
    <row r="7" spans="1:7" ht="15" thickBot="1" x14ac:dyDescent="0.35">
      <c r="A7" t="s">
        <v>11</v>
      </c>
      <c r="B7" s="70">
        <v>1480.5709300000001</v>
      </c>
      <c r="C7" s="70">
        <v>210.82628030000001</v>
      </c>
      <c r="D7" s="70">
        <v>108.6740637</v>
      </c>
      <c r="E7" s="70">
        <v>49.864471340000001</v>
      </c>
      <c r="F7" s="70">
        <v>34.159261149999999</v>
      </c>
      <c r="G7" s="70">
        <v>0</v>
      </c>
    </row>
    <row r="8" spans="1:7" ht="15" thickBot="1" x14ac:dyDescent="0.35">
      <c r="A8" t="s">
        <v>12</v>
      </c>
      <c r="B8" s="70">
        <v>956.14639490000002</v>
      </c>
      <c r="C8" s="70">
        <v>532.65512100000001</v>
      </c>
      <c r="D8" s="70">
        <v>87.664509550000005</v>
      </c>
      <c r="E8" s="70">
        <v>28.43770701</v>
      </c>
      <c r="F8" s="70">
        <v>9.1060127390000005</v>
      </c>
      <c r="G8" s="70">
        <v>0</v>
      </c>
    </row>
    <row r="9" spans="1:7" ht="15" thickBot="1" x14ac:dyDescent="0.35">
      <c r="A9" t="s">
        <v>13</v>
      </c>
      <c r="B9" s="70">
        <v>1101.27214</v>
      </c>
      <c r="C9" s="70">
        <v>554.43061150000005</v>
      </c>
      <c r="D9" s="70">
        <v>425.34771970000003</v>
      </c>
      <c r="E9" s="70">
        <v>24.470560509999999</v>
      </c>
      <c r="F9" s="70">
        <v>47.651885350000001</v>
      </c>
      <c r="G9" s="70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2023-01-18T19:53:58Z</dcterms:created>
  <dcterms:modified xsi:type="dcterms:W3CDTF">2023-02-22T17:05:19Z</dcterms:modified>
</cp:coreProperties>
</file>